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"/>
    </mc:Choice>
  </mc:AlternateContent>
  <xr:revisionPtr revIDLastSave="988" documentId="8_{C15EBD0E-2414-4478-AEE6-E45CEECF573A}" xr6:coauthVersionLast="47" xr6:coauthVersionMax="47" xr10:uidLastSave="{019C104D-2828-4988-A6AC-131C33744229}"/>
  <bookViews>
    <workbookView xWindow="-108" yWindow="-108" windowWidth="23256" windowHeight="13896" firstSheet="1" activeTab="2" xr2:uid="{89296A91-E415-4CF7-9F00-15AE7DFAF6AC}"/>
  </bookViews>
  <sheets>
    <sheet name="Sheet1" sheetId="1" state="hidden" r:id="rId1"/>
    <sheet name="Assumption" sheetId="5" r:id="rId2"/>
    <sheet name="All" sheetId="6" r:id="rId3"/>
    <sheet name="IEA" sheetId="2" r:id="rId4"/>
    <sheet name="ICIS" sheetId="3" r:id="rId5"/>
    <sheet name="McKinsey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5" i="4" l="1"/>
  <c r="S26" i="4"/>
  <c r="S27" i="4"/>
  <c r="S28" i="4"/>
  <c r="S24" i="4"/>
  <c r="S20" i="4"/>
  <c r="S21" i="4"/>
  <c r="S22" i="4"/>
  <c r="S23" i="4"/>
  <c r="S19" i="4"/>
  <c r="S15" i="4"/>
  <c r="S16" i="4"/>
  <c r="S17" i="4"/>
  <c r="S18" i="4"/>
  <c r="S14" i="4"/>
  <c r="S10" i="4"/>
  <c r="S11" i="4"/>
  <c r="S12" i="4"/>
  <c r="S13" i="4"/>
  <c r="S9" i="4"/>
  <c r="S4" i="4"/>
  <c r="S5" i="4"/>
  <c r="S6" i="4"/>
  <c r="H6" i="4" s="1"/>
  <c r="S7" i="4"/>
  <c r="H7" i="4" s="1"/>
  <c r="S8" i="4"/>
  <c r="H8" i="4" s="1"/>
  <c r="H9" i="4" s="1"/>
  <c r="S3" i="4"/>
  <c r="H3" i="4" s="1"/>
  <c r="R20" i="4"/>
  <c r="R21" i="4"/>
  <c r="R22" i="4"/>
  <c r="R23" i="4"/>
  <c r="R24" i="4"/>
  <c r="R25" i="4"/>
  <c r="R26" i="4"/>
  <c r="R27" i="4"/>
  <c r="R28" i="4"/>
  <c r="R19" i="4"/>
  <c r="R15" i="4"/>
  <c r="R16" i="4"/>
  <c r="R17" i="4"/>
  <c r="R18" i="4"/>
  <c r="R14" i="4"/>
  <c r="R10" i="4"/>
  <c r="R11" i="4"/>
  <c r="R12" i="4"/>
  <c r="R13" i="4"/>
  <c r="R9" i="4"/>
  <c r="R8" i="4"/>
  <c r="R4" i="4"/>
  <c r="R5" i="4"/>
  <c r="R6" i="4"/>
  <c r="R7" i="4"/>
  <c r="R3" i="4"/>
  <c r="Q25" i="4"/>
  <c r="Q26" i="4"/>
  <c r="Q27" i="4"/>
  <c r="Q28" i="4"/>
  <c r="Q24" i="4"/>
  <c r="Q15" i="4"/>
  <c r="Q16" i="4"/>
  <c r="Q17" i="4"/>
  <c r="Q18" i="4"/>
  <c r="Q19" i="4"/>
  <c r="Q20" i="4"/>
  <c r="Q21" i="4"/>
  <c r="Q22" i="4"/>
  <c r="Q23" i="4"/>
  <c r="Q14" i="4"/>
  <c r="Q10" i="4"/>
  <c r="Q11" i="4"/>
  <c r="Q12" i="4"/>
  <c r="Q13" i="4"/>
  <c r="Q9" i="4"/>
  <c r="P9" i="4"/>
  <c r="Q4" i="4"/>
  <c r="Q5" i="4"/>
  <c r="Q6" i="4"/>
  <c r="Q7" i="4"/>
  <c r="Q8" i="4"/>
  <c r="Q3" i="4"/>
  <c r="P20" i="4"/>
  <c r="P21" i="4"/>
  <c r="P22" i="4"/>
  <c r="P23" i="4"/>
  <c r="P24" i="4"/>
  <c r="P25" i="4"/>
  <c r="P26" i="4"/>
  <c r="P27" i="4"/>
  <c r="P28" i="4"/>
  <c r="P19" i="4"/>
  <c r="P15" i="4"/>
  <c r="P16" i="4"/>
  <c r="P17" i="4"/>
  <c r="P18" i="4"/>
  <c r="P14" i="4"/>
  <c r="P10" i="4"/>
  <c r="P11" i="4"/>
  <c r="P12" i="4"/>
  <c r="P13" i="4"/>
  <c r="P4" i="4"/>
  <c r="P5" i="4"/>
  <c r="P6" i="4"/>
  <c r="P7" i="4"/>
  <c r="E7" i="4" s="1"/>
  <c r="P8" i="4"/>
  <c r="P3" i="4"/>
  <c r="O20" i="4"/>
  <c r="O21" i="4"/>
  <c r="O22" i="4"/>
  <c r="O23" i="4"/>
  <c r="O24" i="4"/>
  <c r="O25" i="4"/>
  <c r="O26" i="4"/>
  <c r="O27" i="4"/>
  <c r="O28" i="4"/>
  <c r="O19" i="4"/>
  <c r="O15" i="4"/>
  <c r="O16" i="4"/>
  <c r="O17" i="4"/>
  <c r="O18" i="4"/>
  <c r="O14" i="4"/>
  <c r="O10" i="4"/>
  <c r="O11" i="4"/>
  <c r="O12" i="4"/>
  <c r="O13" i="4"/>
  <c r="O9" i="4"/>
  <c r="O4" i="4"/>
  <c r="O5" i="4"/>
  <c r="O6" i="4"/>
  <c r="O7" i="4"/>
  <c r="O8" i="4"/>
  <c r="O3" i="4"/>
  <c r="N20" i="4"/>
  <c r="N21" i="4"/>
  <c r="N22" i="4"/>
  <c r="N23" i="4"/>
  <c r="N24" i="4"/>
  <c r="N25" i="4"/>
  <c r="N26" i="4"/>
  <c r="N27" i="4"/>
  <c r="N28" i="4"/>
  <c r="N19" i="4"/>
  <c r="N15" i="4"/>
  <c r="N16" i="4"/>
  <c r="N17" i="4"/>
  <c r="N18" i="4"/>
  <c r="N14" i="4"/>
  <c r="N10" i="4"/>
  <c r="N11" i="4"/>
  <c r="N12" i="4"/>
  <c r="N13" i="4"/>
  <c r="N9" i="4"/>
  <c r="N4" i="4"/>
  <c r="N5" i="4"/>
  <c r="N6" i="4"/>
  <c r="N7" i="4"/>
  <c r="N8" i="4"/>
  <c r="N3" i="4"/>
  <c r="C3" i="4" s="1"/>
  <c r="M20" i="4"/>
  <c r="M21" i="4"/>
  <c r="M22" i="4"/>
  <c r="M23" i="4"/>
  <c r="M24" i="4"/>
  <c r="M25" i="4"/>
  <c r="M26" i="4"/>
  <c r="M27" i="4"/>
  <c r="M28" i="4"/>
  <c r="M19" i="4"/>
  <c r="M15" i="4"/>
  <c r="M16" i="4"/>
  <c r="M17" i="4"/>
  <c r="M18" i="4"/>
  <c r="M14" i="4"/>
  <c r="M10" i="4"/>
  <c r="M11" i="4"/>
  <c r="M12" i="4"/>
  <c r="M13" i="4"/>
  <c r="M9" i="4"/>
  <c r="M8" i="4"/>
  <c r="M4" i="4"/>
  <c r="M5" i="4"/>
  <c r="M6" i="4"/>
  <c r="M7" i="4"/>
  <c r="M3" i="4"/>
  <c r="S25" i="3"/>
  <c r="S26" i="3"/>
  <c r="S27" i="3"/>
  <c r="S28" i="3"/>
  <c r="S24" i="3"/>
  <c r="S20" i="3"/>
  <c r="S21" i="3"/>
  <c r="S22" i="3"/>
  <c r="S23" i="3"/>
  <c r="S19" i="3"/>
  <c r="S15" i="3"/>
  <c r="S16" i="3"/>
  <c r="S17" i="3"/>
  <c r="S18" i="3"/>
  <c r="S14" i="3"/>
  <c r="S10" i="3"/>
  <c r="S11" i="3"/>
  <c r="S12" i="3"/>
  <c r="S13" i="3"/>
  <c r="S9" i="3"/>
  <c r="S4" i="3"/>
  <c r="H4" i="3" s="1"/>
  <c r="S5" i="3"/>
  <c r="S6" i="3"/>
  <c r="S7" i="3"/>
  <c r="S8" i="3"/>
  <c r="H8" i="3" s="1"/>
  <c r="S3" i="3"/>
  <c r="H3" i="3"/>
  <c r="R20" i="3"/>
  <c r="R21" i="3"/>
  <c r="R22" i="3"/>
  <c r="R23" i="3"/>
  <c r="R24" i="3"/>
  <c r="R25" i="3"/>
  <c r="R26" i="3"/>
  <c r="R27" i="3"/>
  <c r="R28" i="3"/>
  <c r="R19" i="3"/>
  <c r="R15" i="3"/>
  <c r="R16" i="3"/>
  <c r="R17" i="3"/>
  <c r="R18" i="3"/>
  <c r="R14" i="3"/>
  <c r="R10" i="3"/>
  <c r="R11" i="3"/>
  <c r="R12" i="3"/>
  <c r="R13" i="3"/>
  <c r="R9" i="3"/>
  <c r="R4" i="3"/>
  <c r="G4" i="3" s="1"/>
  <c r="R5" i="3"/>
  <c r="G5" i="3" s="1"/>
  <c r="R6" i="3"/>
  <c r="G6" i="3" s="1"/>
  <c r="R7" i="3"/>
  <c r="G7" i="3" s="1"/>
  <c r="R8" i="3"/>
  <c r="G8" i="3" s="1"/>
  <c r="R3" i="3"/>
  <c r="G3" i="3"/>
  <c r="Q25" i="3"/>
  <c r="Q26" i="3"/>
  <c r="Q27" i="3"/>
  <c r="Q28" i="3"/>
  <c r="Q24" i="3"/>
  <c r="Q15" i="3"/>
  <c r="Q16" i="3"/>
  <c r="Q17" i="3"/>
  <c r="Q18" i="3"/>
  <c r="Q19" i="3"/>
  <c r="Q20" i="3"/>
  <c r="Q21" i="3"/>
  <c r="Q22" i="3"/>
  <c r="Q23" i="3"/>
  <c r="Q14" i="3"/>
  <c r="Q10" i="3"/>
  <c r="Q11" i="3"/>
  <c r="Q12" i="3"/>
  <c r="Q13" i="3"/>
  <c r="Q9" i="3"/>
  <c r="Q4" i="3"/>
  <c r="Q5" i="3"/>
  <c r="Q6" i="3"/>
  <c r="Q7" i="3"/>
  <c r="Q8" i="3"/>
  <c r="Q3" i="3"/>
  <c r="P20" i="3"/>
  <c r="P21" i="3"/>
  <c r="P22" i="3"/>
  <c r="P23" i="3"/>
  <c r="P24" i="3"/>
  <c r="P25" i="3"/>
  <c r="P26" i="3"/>
  <c r="P27" i="3"/>
  <c r="P28" i="3"/>
  <c r="P19" i="3"/>
  <c r="P15" i="3"/>
  <c r="P16" i="3"/>
  <c r="P17" i="3"/>
  <c r="P18" i="3"/>
  <c r="P14" i="3"/>
  <c r="P10" i="3"/>
  <c r="P11" i="3"/>
  <c r="P12" i="3"/>
  <c r="P13" i="3"/>
  <c r="P9" i="3"/>
  <c r="P4" i="3"/>
  <c r="P5" i="3"/>
  <c r="P6" i="3"/>
  <c r="P7" i="3"/>
  <c r="P8" i="3"/>
  <c r="P3" i="3"/>
  <c r="O20" i="3"/>
  <c r="O21" i="3"/>
  <c r="O22" i="3"/>
  <c r="O23" i="3"/>
  <c r="O24" i="3"/>
  <c r="O25" i="3"/>
  <c r="O26" i="3"/>
  <c r="O27" i="3"/>
  <c r="O28" i="3"/>
  <c r="O19" i="3"/>
  <c r="O15" i="3"/>
  <c r="O16" i="3"/>
  <c r="O17" i="3"/>
  <c r="O18" i="3"/>
  <c r="O14" i="3"/>
  <c r="O10" i="3"/>
  <c r="O11" i="3"/>
  <c r="O12" i="3"/>
  <c r="O13" i="3"/>
  <c r="O9" i="3"/>
  <c r="O4" i="3"/>
  <c r="O5" i="3"/>
  <c r="O6" i="3"/>
  <c r="O7" i="3"/>
  <c r="O8" i="3"/>
  <c r="O3" i="3"/>
  <c r="J13" i="3"/>
  <c r="N20" i="3"/>
  <c r="N21" i="3"/>
  <c r="N22" i="3"/>
  <c r="N23" i="3"/>
  <c r="N24" i="3"/>
  <c r="N25" i="3"/>
  <c r="N26" i="3"/>
  <c r="N27" i="3"/>
  <c r="N28" i="3"/>
  <c r="N19" i="3"/>
  <c r="N15" i="3"/>
  <c r="N16" i="3"/>
  <c r="N17" i="3"/>
  <c r="N18" i="3"/>
  <c r="N14" i="3"/>
  <c r="N10" i="3"/>
  <c r="N11" i="3"/>
  <c r="N12" i="3"/>
  <c r="N13" i="3"/>
  <c r="N9" i="3"/>
  <c r="N4" i="3"/>
  <c r="N5" i="3"/>
  <c r="N6" i="3"/>
  <c r="N7" i="3"/>
  <c r="N8" i="3"/>
  <c r="N3" i="3"/>
  <c r="M20" i="3"/>
  <c r="M21" i="3"/>
  <c r="M22" i="3"/>
  <c r="M23" i="3"/>
  <c r="M24" i="3"/>
  <c r="M25" i="3"/>
  <c r="M26" i="3"/>
  <c r="M27" i="3"/>
  <c r="M28" i="3"/>
  <c r="M19" i="3"/>
  <c r="M15" i="3"/>
  <c r="M16" i="3"/>
  <c r="M17" i="3"/>
  <c r="M18" i="3"/>
  <c r="M14" i="3"/>
  <c r="M13" i="3"/>
  <c r="M10" i="3"/>
  <c r="M11" i="3"/>
  <c r="M12" i="3"/>
  <c r="M9" i="3"/>
  <c r="M4" i="3"/>
  <c r="M5" i="3"/>
  <c r="M6" i="3"/>
  <c r="M7" i="3"/>
  <c r="M8" i="3"/>
  <c r="M3" i="3"/>
  <c r="S25" i="2"/>
  <c r="S26" i="2"/>
  <c r="S27" i="2"/>
  <c r="S28" i="2"/>
  <c r="S24" i="2"/>
  <c r="S20" i="2"/>
  <c r="S21" i="2"/>
  <c r="S22" i="2"/>
  <c r="S23" i="2"/>
  <c r="S19" i="2"/>
  <c r="S15" i="2"/>
  <c r="S16" i="2"/>
  <c r="S17" i="2"/>
  <c r="S18" i="2"/>
  <c r="S14" i="2"/>
  <c r="S10" i="2"/>
  <c r="S11" i="2"/>
  <c r="S12" i="2"/>
  <c r="S13" i="2"/>
  <c r="S9" i="2"/>
  <c r="S4" i="2"/>
  <c r="S5" i="2"/>
  <c r="S6" i="2"/>
  <c r="S7" i="2"/>
  <c r="S8" i="2"/>
  <c r="S3" i="2"/>
  <c r="R20" i="2"/>
  <c r="R21" i="2"/>
  <c r="R22" i="2"/>
  <c r="R23" i="2"/>
  <c r="R24" i="2"/>
  <c r="R25" i="2"/>
  <c r="R26" i="2"/>
  <c r="R27" i="2"/>
  <c r="R28" i="2"/>
  <c r="R19" i="2"/>
  <c r="R15" i="2"/>
  <c r="R16" i="2"/>
  <c r="R17" i="2"/>
  <c r="R18" i="2"/>
  <c r="R14" i="2"/>
  <c r="R10" i="2"/>
  <c r="R11" i="2"/>
  <c r="R12" i="2"/>
  <c r="R13" i="2"/>
  <c r="R9" i="2"/>
  <c r="R8" i="2"/>
  <c r="R4" i="2"/>
  <c r="R5" i="2"/>
  <c r="R6" i="2"/>
  <c r="R7" i="2"/>
  <c r="R3" i="2"/>
  <c r="Q3" i="2"/>
  <c r="Q25" i="2"/>
  <c r="Q26" i="2"/>
  <c r="Q27" i="2"/>
  <c r="Q28" i="2"/>
  <c r="Q24" i="2"/>
  <c r="P24" i="2"/>
  <c r="Q15" i="2"/>
  <c r="Q16" i="2"/>
  <c r="Q17" i="2"/>
  <c r="Q18" i="2"/>
  <c r="Q19" i="2"/>
  <c r="Q20" i="2"/>
  <c r="Q21" i="2"/>
  <c r="Q22" i="2"/>
  <c r="Q23" i="2"/>
  <c r="Q14" i="2"/>
  <c r="P14" i="2"/>
  <c r="Q10" i="2"/>
  <c r="Q11" i="2"/>
  <c r="Q12" i="2"/>
  <c r="Q13" i="2"/>
  <c r="Q9" i="2"/>
  <c r="Q4" i="2"/>
  <c r="Q5" i="2"/>
  <c r="Q6" i="2"/>
  <c r="Q7" i="2"/>
  <c r="Q8" i="2"/>
  <c r="P9" i="2"/>
  <c r="P10" i="2"/>
  <c r="P11" i="2"/>
  <c r="P12" i="2"/>
  <c r="P13" i="2"/>
  <c r="I13" i="2"/>
  <c r="P20" i="2"/>
  <c r="P21" i="2"/>
  <c r="P22" i="2"/>
  <c r="P23" i="2"/>
  <c r="P25" i="2"/>
  <c r="P26" i="2"/>
  <c r="P27" i="2"/>
  <c r="P28" i="2"/>
  <c r="P19" i="2"/>
  <c r="P15" i="2"/>
  <c r="P16" i="2"/>
  <c r="P17" i="2"/>
  <c r="P18" i="2"/>
  <c r="P4" i="2"/>
  <c r="P5" i="2"/>
  <c r="P6" i="2"/>
  <c r="P7" i="2"/>
  <c r="P8" i="2"/>
  <c r="P3" i="2"/>
  <c r="O10" i="2"/>
  <c r="O11" i="2"/>
  <c r="O12" i="2"/>
  <c r="O13" i="2"/>
  <c r="O9" i="2"/>
  <c r="O4" i="2"/>
  <c r="O5" i="2"/>
  <c r="O6" i="2"/>
  <c r="O7" i="2"/>
  <c r="O8" i="2"/>
  <c r="O3" i="2"/>
  <c r="N20" i="2"/>
  <c r="N21" i="2"/>
  <c r="N22" i="2"/>
  <c r="N23" i="2"/>
  <c r="N24" i="2"/>
  <c r="N25" i="2"/>
  <c r="N26" i="2"/>
  <c r="N27" i="2"/>
  <c r="N28" i="2"/>
  <c r="N19" i="2"/>
  <c r="N15" i="2"/>
  <c r="N16" i="2"/>
  <c r="N17" i="2"/>
  <c r="N18" i="2"/>
  <c r="N14" i="2"/>
  <c r="N10" i="2"/>
  <c r="N11" i="2"/>
  <c r="N12" i="2"/>
  <c r="N13" i="2"/>
  <c r="N9" i="2"/>
  <c r="N4" i="2"/>
  <c r="N5" i="2"/>
  <c r="N6" i="2"/>
  <c r="N7" i="2"/>
  <c r="N8" i="2"/>
  <c r="M20" i="2"/>
  <c r="M21" i="2"/>
  <c r="M22" i="2"/>
  <c r="M23" i="2"/>
  <c r="M24" i="2"/>
  <c r="M25" i="2"/>
  <c r="M26" i="2"/>
  <c r="M27" i="2"/>
  <c r="M28" i="2"/>
  <c r="M19" i="2"/>
  <c r="M15" i="2"/>
  <c r="M16" i="2"/>
  <c r="M17" i="2"/>
  <c r="M18" i="2"/>
  <c r="M10" i="2"/>
  <c r="M11" i="2"/>
  <c r="M12" i="2"/>
  <c r="M13" i="2"/>
  <c r="M14" i="2"/>
  <c r="M9" i="2"/>
  <c r="N3" i="2"/>
  <c r="O19" i="2"/>
  <c r="O20" i="2"/>
  <c r="O21" i="2"/>
  <c r="O22" i="2"/>
  <c r="O23" i="2"/>
  <c r="O24" i="2"/>
  <c r="O25" i="2"/>
  <c r="O26" i="2"/>
  <c r="O27" i="2"/>
  <c r="O28" i="2"/>
  <c r="O15" i="2"/>
  <c r="O16" i="2"/>
  <c r="O17" i="2"/>
  <c r="O18" i="2"/>
  <c r="O14" i="2"/>
  <c r="B8" i="2"/>
  <c r="M4" i="2"/>
  <c r="M5" i="2"/>
  <c r="M6" i="2"/>
  <c r="M7" i="2"/>
  <c r="M8" i="2"/>
  <c r="M3" i="2"/>
  <c r="G8" i="4"/>
  <c r="G9" i="4" s="1"/>
  <c r="F8" i="4"/>
  <c r="E8" i="4"/>
  <c r="E9" i="4" s="1"/>
  <c r="D8" i="4"/>
  <c r="D9" i="4" s="1"/>
  <c r="C8" i="4"/>
  <c r="B8" i="4"/>
  <c r="B11" i="4" s="1"/>
  <c r="G7" i="4"/>
  <c r="F7" i="4"/>
  <c r="D7" i="4"/>
  <c r="C7" i="4"/>
  <c r="B7" i="4"/>
  <c r="G6" i="4"/>
  <c r="F6" i="4"/>
  <c r="E6" i="4"/>
  <c r="D6" i="4"/>
  <c r="C6" i="4"/>
  <c r="B6" i="4"/>
  <c r="H5" i="4"/>
  <c r="G5" i="4"/>
  <c r="F5" i="4"/>
  <c r="E5" i="4"/>
  <c r="D5" i="4"/>
  <c r="C5" i="4"/>
  <c r="B5" i="4"/>
  <c r="H4" i="4"/>
  <c r="G4" i="4"/>
  <c r="F4" i="4"/>
  <c r="E4" i="4"/>
  <c r="D4" i="4"/>
  <c r="C4" i="4"/>
  <c r="B4" i="4"/>
  <c r="G3" i="4"/>
  <c r="F3" i="4"/>
  <c r="E3" i="4"/>
  <c r="D3" i="4"/>
  <c r="B3" i="4"/>
  <c r="H5" i="3"/>
  <c r="H6" i="3"/>
  <c r="H7" i="3"/>
  <c r="E11" i="4" l="1"/>
  <c r="C9" i="4"/>
  <c r="C11" i="4"/>
  <c r="C13" i="4"/>
  <c r="C16" i="4" s="1"/>
  <c r="H10" i="3"/>
  <c r="H11" i="3"/>
  <c r="H12" i="3"/>
  <c r="H13" i="3"/>
  <c r="H9" i="3"/>
  <c r="G10" i="3"/>
  <c r="G11" i="3"/>
  <c r="G12" i="3"/>
  <c r="G13" i="3"/>
  <c r="G9" i="3"/>
  <c r="H10" i="4"/>
  <c r="H11" i="4"/>
  <c r="H13" i="4"/>
  <c r="H15" i="4" s="1"/>
  <c r="G10" i="4"/>
  <c r="G11" i="4"/>
  <c r="G13" i="4"/>
  <c r="G15" i="4" s="1"/>
  <c r="F9" i="4"/>
  <c r="F10" i="4"/>
  <c r="F11" i="4"/>
  <c r="F13" i="4"/>
  <c r="F19" i="4" s="1"/>
  <c r="E10" i="4"/>
  <c r="E13" i="4"/>
  <c r="E16" i="4" s="1"/>
  <c r="D13" i="4"/>
  <c r="D17" i="4" s="1"/>
  <c r="D10" i="4"/>
  <c r="D11" i="4"/>
  <c r="C17" i="4"/>
  <c r="C10" i="4"/>
  <c r="B10" i="4"/>
  <c r="B13" i="4"/>
  <c r="B9" i="4"/>
  <c r="B12" i="4"/>
  <c r="C12" i="4"/>
  <c r="D12" i="4"/>
  <c r="E12" i="4"/>
  <c r="F12" i="4"/>
  <c r="G12" i="4"/>
  <c r="H12" i="4"/>
  <c r="E15" i="1"/>
  <c r="E16" i="1"/>
  <c r="E17" i="1"/>
  <c r="E18" i="1"/>
  <c r="E19" i="1"/>
  <c r="E20" i="1"/>
  <c r="E21" i="1"/>
  <c r="E22" i="1"/>
  <c r="E23" i="1"/>
  <c r="E14" i="1"/>
  <c r="E13" i="1"/>
  <c r="F4" i="3"/>
  <c r="F5" i="3"/>
  <c r="F6" i="3"/>
  <c r="F7" i="3"/>
  <c r="F8" i="3"/>
  <c r="F12" i="3" s="1"/>
  <c r="F3" i="3"/>
  <c r="E11" i="3"/>
  <c r="E12" i="3"/>
  <c r="E13" i="3"/>
  <c r="E15" i="3" s="1"/>
  <c r="E9" i="3"/>
  <c r="E4" i="3"/>
  <c r="E5" i="3"/>
  <c r="E6" i="3"/>
  <c r="E7" i="3"/>
  <c r="E8" i="3"/>
  <c r="E10" i="3" s="1"/>
  <c r="E3" i="3"/>
  <c r="D4" i="3"/>
  <c r="D5" i="3"/>
  <c r="D6" i="3"/>
  <c r="D7" i="3"/>
  <c r="D8" i="3"/>
  <c r="D10" i="3" s="1"/>
  <c r="D3" i="3"/>
  <c r="C4" i="3"/>
  <c r="C5" i="3"/>
  <c r="C6" i="3"/>
  <c r="C7" i="3"/>
  <c r="C8" i="3"/>
  <c r="C13" i="3" s="1"/>
  <c r="C3" i="3"/>
  <c r="B4" i="3"/>
  <c r="B5" i="3"/>
  <c r="B6" i="3"/>
  <c r="B7" i="3"/>
  <c r="B8" i="3"/>
  <c r="B11" i="3" s="1"/>
  <c r="B3" i="3"/>
  <c r="H10" i="2"/>
  <c r="H11" i="2"/>
  <c r="H12" i="2"/>
  <c r="H13" i="2"/>
  <c r="H15" i="2" s="1"/>
  <c r="H9" i="2"/>
  <c r="H4" i="2"/>
  <c r="H5" i="2"/>
  <c r="H6" i="2"/>
  <c r="H7" i="2"/>
  <c r="H8" i="2"/>
  <c r="H3" i="2"/>
  <c r="G4" i="2"/>
  <c r="G5" i="2"/>
  <c r="G6" i="2"/>
  <c r="G7" i="2"/>
  <c r="G8" i="2"/>
  <c r="G12" i="2" s="1"/>
  <c r="G3" i="2"/>
  <c r="F4" i="2"/>
  <c r="F5" i="2"/>
  <c r="F6" i="2"/>
  <c r="F7" i="2"/>
  <c r="F8" i="2"/>
  <c r="F10" i="2" s="1"/>
  <c r="F3" i="2"/>
  <c r="E4" i="2"/>
  <c r="E5" i="2"/>
  <c r="E6" i="2"/>
  <c r="E7" i="2"/>
  <c r="E8" i="2"/>
  <c r="E10" i="2" s="1"/>
  <c r="E3" i="2"/>
  <c r="D4" i="2"/>
  <c r="D5" i="2"/>
  <c r="D6" i="2"/>
  <c r="D7" i="2"/>
  <c r="D8" i="2"/>
  <c r="D9" i="2" s="1"/>
  <c r="D3" i="2"/>
  <c r="H16" i="4" l="1"/>
  <c r="H17" i="4"/>
  <c r="H14" i="4"/>
  <c r="H18" i="4"/>
  <c r="H21" i="4" s="1"/>
  <c r="G16" i="4"/>
  <c r="G17" i="4"/>
  <c r="G18" i="4"/>
  <c r="G26" i="4" s="1"/>
  <c r="G14" i="4"/>
  <c r="C14" i="4"/>
  <c r="C15" i="4"/>
  <c r="C18" i="4"/>
  <c r="C21" i="4" s="1"/>
  <c r="H15" i="3"/>
  <c r="H16" i="3"/>
  <c r="H17" i="3"/>
  <c r="H18" i="3"/>
  <c r="H14" i="3"/>
  <c r="G17" i="3"/>
  <c r="G16" i="3"/>
  <c r="G15" i="3"/>
  <c r="G18" i="3"/>
  <c r="G14" i="3"/>
  <c r="F9" i="3"/>
  <c r="F11" i="3"/>
  <c r="F10" i="3"/>
  <c r="F13" i="3"/>
  <c r="F16" i="3" s="1"/>
  <c r="D9" i="3"/>
  <c r="D13" i="3"/>
  <c r="D18" i="3" s="1"/>
  <c r="D12" i="3"/>
  <c r="D11" i="3"/>
  <c r="H14" i="2"/>
  <c r="H18" i="2"/>
  <c r="H17" i="2"/>
  <c r="H16" i="2"/>
  <c r="G11" i="2"/>
  <c r="G10" i="2"/>
  <c r="G9" i="2"/>
  <c r="G13" i="2"/>
  <c r="F12" i="2"/>
  <c r="F13" i="2"/>
  <c r="F18" i="2" s="1"/>
  <c r="F9" i="2"/>
  <c r="F11" i="2"/>
  <c r="D13" i="2"/>
  <c r="D17" i="2" s="1"/>
  <c r="F15" i="4"/>
  <c r="F22" i="4"/>
  <c r="F23" i="4"/>
  <c r="F28" i="4" s="1"/>
  <c r="F16" i="4"/>
  <c r="F20" i="4"/>
  <c r="F17" i="4"/>
  <c r="F14" i="4"/>
  <c r="F21" i="4"/>
  <c r="F18" i="4"/>
  <c r="E17" i="4"/>
  <c r="E15" i="4"/>
  <c r="E14" i="4"/>
  <c r="E18" i="4"/>
  <c r="E28" i="4" s="1"/>
  <c r="D14" i="4"/>
  <c r="D18" i="4"/>
  <c r="D22" i="4" s="1"/>
  <c r="D15" i="4"/>
  <c r="D16" i="4"/>
  <c r="G25" i="4"/>
  <c r="G28" i="4"/>
  <c r="G21" i="4"/>
  <c r="G24" i="4"/>
  <c r="G27" i="4"/>
  <c r="G20" i="4"/>
  <c r="B16" i="4"/>
  <c r="B15" i="4"/>
  <c r="B18" i="4"/>
  <c r="B17" i="4"/>
  <c r="B14" i="4"/>
  <c r="F18" i="3"/>
  <c r="C11" i="3"/>
  <c r="E17" i="3"/>
  <c r="C12" i="3"/>
  <c r="C10" i="3"/>
  <c r="E14" i="3"/>
  <c r="E18" i="3"/>
  <c r="E16" i="3"/>
  <c r="C17" i="3"/>
  <c r="C15" i="3"/>
  <c r="C16" i="3"/>
  <c r="C14" i="3"/>
  <c r="C18" i="3"/>
  <c r="B13" i="3"/>
  <c r="B9" i="3"/>
  <c r="B12" i="3"/>
  <c r="B10" i="3"/>
  <c r="C9" i="3"/>
  <c r="D11" i="2"/>
  <c r="D10" i="2"/>
  <c r="D12" i="2"/>
  <c r="E9" i="2"/>
  <c r="E13" i="2"/>
  <c r="E12" i="2"/>
  <c r="E11" i="2"/>
  <c r="H22" i="4" l="1"/>
  <c r="H19" i="4"/>
  <c r="H23" i="4"/>
  <c r="H28" i="4" s="1"/>
  <c r="H20" i="4"/>
  <c r="G22" i="4"/>
  <c r="G19" i="4"/>
  <c r="G23" i="4"/>
  <c r="C28" i="4"/>
  <c r="C25" i="4"/>
  <c r="C22" i="4"/>
  <c r="C19" i="4"/>
  <c r="C23" i="4"/>
  <c r="C26" i="4"/>
  <c r="C20" i="4"/>
  <c r="C27" i="4"/>
  <c r="C24" i="4"/>
  <c r="H20" i="3"/>
  <c r="H21" i="3"/>
  <c r="H22" i="3"/>
  <c r="H23" i="3"/>
  <c r="H19" i="3"/>
  <c r="G19" i="3"/>
  <c r="G20" i="3"/>
  <c r="G21" i="3"/>
  <c r="G22" i="3"/>
  <c r="G23" i="3"/>
  <c r="G24" i="3"/>
  <c r="G25" i="3"/>
  <c r="G26" i="3"/>
  <c r="G27" i="3"/>
  <c r="G28" i="3"/>
  <c r="F17" i="3"/>
  <c r="F19" i="3"/>
  <c r="F20" i="3"/>
  <c r="F21" i="3"/>
  <c r="F22" i="3"/>
  <c r="F23" i="3"/>
  <c r="F14" i="3"/>
  <c r="F15" i="3"/>
  <c r="D16" i="3"/>
  <c r="D17" i="3"/>
  <c r="D14" i="3"/>
  <c r="D15" i="3"/>
  <c r="H23" i="2"/>
  <c r="H20" i="2"/>
  <c r="H21" i="2"/>
  <c r="H22" i="2"/>
  <c r="H19" i="2"/>
  <c r="G15" i="2"/>
  <c r="G17" i="2"/>
  <c r="G18" i="2"/>
  <c r="G16" i="2"/>
  <c r="G14" i="2"/>
  <c r="F14" i="2"/>
  <c r="F17" i="2"/>
  <c r="F16" i="2"/>
  <c r="F20" i="2"/>
  <c r="F21" i="2"/>
  <c r="F22" i="2"/>
  <c r="F23" i="2"/>
  <c r="F19" i="2"/>
  <c r="F15" i="2"/>
  <c r="D18" i="2"/>
  <c r="D20" i="2" s="1"/>
  <c r="D14" i="2"/>
  <c r="D16" i="2"/>
  <c r="D15" i="2"/>
  <c r="F25" i="4"/>
  <c r="F26" i="4"/>
  <c r="F27" i="4"/>
  <c r="F24" i="4"/>
  <c r="E22" i="4"/>
  <c r="E20" i="4"/>
  <c r="E23" i="4"/>
  <c r="E26" i="4"/>
  <c r="E27" i="4"/>
  <c r="E24" i="4"/>
  <c r="E21" i="4"/>
  <c r="E25" i="4"/>
  <c r="E19" i="4"/>
  <c r="D26" i="4"/>
  <c r="D20" i="4"/>
  <c r="D28" i="4"/>
  <c r="D19" i="4"/>
  <c r="D23" i="4"/>
  <c r="D27" i="4"/>
  <c r="D24" i="4"/>
  <c r="D21" i="4"/>
  <c r="D25" i="4"/>
  <c r="B19" i="4"/>
  <c r="B22" i="4"/>
  <c r="B25" i="4"/>
  <c r="B28" i="4"/>
  <c r="B21" i="4"/>
  <c r="B24" i="4"/>
  <c r="B27" i="4"/>
  <c r="B20" i="4"/>
  <c r="B26" i="4"/>
  <c r="B23" i="4"/>
  <c r="E22" i="3"/>
  <c r="E23" i="3"/>
  <c r="E24" i="3"/>
  <c r="E25" i="3"/>
  <c r="E26" i="3"/>
  <c r="E27" i="3"/>
  <c r="E19" i="3"/>
  <c r="E20" i="3"/>
  <c r="E21" i="3"/>
  <c r="E28" i="3"/>
  <c r="C19" i="3"/>
  <c r="C23" i="3"/>
  <c r="C26" i="3"/>
  <c r="C25" i="3"/>
  <c r="C20" i="3"/>
  <c r="C21" i="3"/>
  <c r="C22" i="3"/>
  <c r="C27" i="3"/>
  <c r="C28" i="3"/>
  <c r="C24" i="3"/>
  <c r="B14" i="3"/>
  <c r="B15" i="3"/>
  <c r="B16" i="3"/>
  <c r="B18" i="3"/>
  <c r="B17" i="3"/>
  <c r="D20" i="3"/>
  <c r="D19" i="3"/>
  <c r="D21" i="3"/>
  <c r="D22" i="3"/>
  <c r="D23" i="3"/>
  <c r="D24" i="3"/>
  <c r="D26" i="3"/>
  <c r="D25" i="3"/>
  <c r="D27" i="3"/>
  <c r="D28" i="3"/>
  <c r="E15" i="2"/>
  <c r="E16" i="2"/>
  <c r="E17" i="2"/>
  <c r="E14" i="2"/>
  <c r="E18" i="2"/>
  <c r="B4" i="2"/>
  <c r="B5" i="2"/>
  <c r="B6" i="2"/>
  <c r="B7" i="2"/>
  <c r="B3" i="2"/>
  <c r="C4" i="2"/>
  <c r="C5" i="2"/>
  <c r="C6" i="2"/>
  <c r="C7" i="2"/>
  <c r="C8" i="2"/>
  <c r="C3" i="2"/>
  <c r="H3" i="1"/>
  <c r="H25" i="4" l="1"/>
  <c r="H26" i="4"/>
  <c r="H27" i="4"/>
  <c r="H24" i="4"/>
  <c r="H27" i="3"/>
  <c r="H28" i="3"/>
  <c r="H24" i="3"/>
  <c r="H25" i="3"/>
  <c r="H26" i="3"/>
  <c r="H26" i="2"/>
  <c r="H25" i="2"/>
  <c r="H24" i="2"/>
  <c r="H27" i="2"/>
  <c r="H28" i="2"/>
  <c r="G19" i="2"/>
  <c r="G20" i="2"/>
  <c r="G21" i="2"/>
  <c r="G22" i="2"/>
  <c r="G24" i="2"/>
  <c r="G25" i="2"/>
  <c r="G26" i="2"/>
  <c r="G27" i="2"/>
  <c r="G23" i="2"/>
  <c r="G28" i="2"/>
  <c r="C10" i="2"/>
  <c r="I8" i="2"/>
  <c r="D19" i="2"/>
  <c r="D28" i="2"/>
  <c r="D27" i="2"/>
  <c r="D26" i="2"/>
  <c r="D25" i="2"/>
  <c r="D24" i="2"/>
  <c r="D23" i="2"/>
  <c r="D22" i="2"/>
  <c r="D21" i="2"/>
  <c r="F26" i="3"/>
  <c r="F28" i="3"/>
  <c r="F25" i="3"/>
  <c r="F27" i="3"/>
  <c r="F24" i="3"/>
  <c r="B27" i="3"/>
  <c r="B21" i="3"/>
  <c r="B23" i="3"/>
  <c r="B24" i="3"/>
  <c r="B25" i="3"/>
  <c r="B22" i="3"/>
  <c r="B26" i="3"/>
  <c r="B28" i="3"/>
  <c r="B20" i="3"/>
  <c r="B19" i="3"/>
  <c r="F26" i="2"/>
  <c r="F27" i="2"/>
  <c r="F24" i="2"/>
  <c r="F28" i="2"/>
  <c r="F25" i="2"/>
  <c r="B12" i="2"/>
  <c r="B13" i="2"/>
  <c r="B9" i="2"/>
  <c r="B10" i="2"/>
  <c r="B11" i="2"/>
  <c r="E26" i="2"/>
  <c r="E27" i="2"/>
  <c r="E28" i="2"/>
  <c r="E19" i="2"/>
  <c r="E20" i="2"/>
  <c r="E21" i="2"/>
  <c r="E22" i="2"/>
  <c r="E23" i="2"/>
  <c r="E24" i="2"/>
  <c r="E25" i="2"/>
  <c r="C9" i="2"/>
  <c r="C13" i="2"/>
  <c r="C15" i="2" s="1"/>
  <c r="C12" i="2"/>
  <c r="C11" i="2"/>
  <c r="Q4" i="1"/>
  <c r="Q5" i="1"/>
  <c r="Q6" i="1"/>
  <c r="Q7" i="1"/>
  <c r="Q8" i="1"/>
  <c r="Q3" i="1"/>
  <c r="P4" i="1"/>
  <c r="P5" i="1"/>
  <c r="P6" i="1"/>
  <c r="P7" i="1"/>
  <c r="P8" i="1"/>
  <c r="P3" i="1"/>
  <c r="O4" i="1"/>
  <c r="O5" i="1"/>
  <c r="O6" i="1"/>
  <c r="O7" i="1"/>
  <c r="O8" i="1"/>
  <c r="O11" i="1" s="1"/>
  <c r="O3" i="1"/>
  <c r="N4" i="1"/>
  <c r="N5" i="1"/>
  <c r="N6" i="1"/>
  <c r="N7" i="1"/>
  <c r="N8" i="1"/>
  <c r="N10" i="1" s="1"/>
  <c r="N3" i="1"/>
  <c r="AL10" i="1"/>
  <c r="AL11" i="1"/>
  <c r="AL12" i="1"/>
  <c r="AL13" i="1"/>
  <c r="Q13" i="1" s="1"/>
  <c r="AL9" i="1"/>
  <c r="Q9" i="1" s="1"/>
  <c r="AK10" i="1"/>
  <c r="AK11" i="1"/>
  <c r="AK12" i="1"/>
  <c r="AK13" i="1"/>
  <c r="AK9" i="1"/>
  <c r="M4" i="1"/>
  <c r="M5" i="1"/>
  <c r="M6" i="1"/>
  <c r="M7" i="1"/>
  <c r="M8" i="1"/>
  <c r="M10" i="1" s="1"/>
  <c r="M3" i="1"/>
  <c r="L8" i="1"/>
  <c r="L13" i="1" s="1"/>
  <c r="L4" i="1"/>
  <c r="L5" i="1"/>
  <c r="L6" i="1"/>
  <c r="L7" i="1"/>
  <c r="L3" i="1"/>
  <c r="K4" i="1"/>
  <c r="K5" i="1"/>
  <c r="K6" i="1"/>
  <c r="K7" i="1"/>
  <c r="K8" i="1"/>
  <c r="K12" i="1" s="1"/>
  <c r="K3" i="1"/>
  <c r="J4" i="1"/>
  <c r="J5" i="1"/>
  <c r="J6" i="1"/>
  <c r="J7" i="1"/>
  <c r="J8" i="1"/>
  <c r="J13" i="1" s="1"/>
  <c r="J3" i="1"/>
  <c r="H4" i="1"/>
  <c r="H5" i="1"/>
  <c r="H6" i="1"/>
  <c r="H7" i="1"/>
  <c r="H8" i="1"/>
  <c r="F3" i="1"/>
  <c r="F4" i="1"/>
  <c r="F5" i="1"/>
  <c r="F6" i="1"/>
  <c r="F7" i="1"/>
  <c r="F8" i="1"/>
  <c r="F10" i="1" s="1"/>
  <c r="E3" i="1"/>
  <c r="E4" i="1"/>
  <c r="E5" i="1"/>
  <c r="E6" i="1"/>
  <c r="E7" i="1"/>
  <c r="E8" i="1"/>
  <c r="B11" i="1"/>
  <c r="D4" i="1"/>
  <c r="D5" i="1"/>
  <c r="D6" i="1"/>
  <c r="D7" i="1"/>
  <c r="D8" i="1"/>
  <c r="D10" i="1" s="1"/>
  <c r="D3" i="1"/>
  <c r="C3" i="1"/>
  <c r="C4" i="1"/>
  <c r="C5" i="1"/>
  <c r="C6" i="1"/>
  <c r="C7" i="1"/>
  <c r="C8" i="1"/>
  <c r="C10" i="1" s="1"/>
  <c r="B3" i="1"/>
  <c r="B4" i="1"/>
  <c r="B5" i="1"/>
  <c r="B6" i="1"/>
  <c r="B7" i="1"/>
  <c r="B8" i="1"/>
  <c r="B12" i="1" s="1"/>
  <c r="B16" i="2" l="1"/>
  <c r="B18" i="2"/>
  <c r="B14" i="2"/>
  <c r="B15" i="2"/>
  <c r="B17" i="2"/>
  <c r="C17" i="2"/>
  <c r="C18" i="2"/>
  <c r="C27" i="2" s="1"/>
  <c r="C16" i="2"/>
  <c r="C14" i="2"/>
  <c r="Q12" i="1"/>
  <c r="P12" i="1"/>
  <c r="J15" i="1"/>
  <c r="J22" i="1"/>
  <c r="J19" i="1"/>
  <c r="J14" i="1"/>
  <c r="J20" i="1"/>
  <c r="J21" i="1"/>
  <c r="J23" i="1"/>
  <c r="Q11" i="1"/>
  <c r="P10" i="1"/>
  <c r="Q10" i="1"/>
  <c r="P11" i="1"/>
  <c r="O10" i="1"/>
  <c r="P9" i="1"/>
  <c r="P13" i="1"/>
  <c r="P15" i="1" s="1"/>
  <c r="N9" i="1"/>
  <c r="N13" i="1"/>
  <c r="N18" i="1" s="1"/>
  <c r="N12" i="1"/>
  <c r="Q15" i="1"/>
  <c r="Q16" i="1"/>
  <c r="Q17" i="1"/>
  <c r="Q18" i="1"/>
  <c r="Q14" i="1"/>
  <c r="K11" i="1"/>
  <c r="K10" i="1"/>
  <c r="H13" i="1"/>
  <c r="H17" i="1" s="1"/>
  <c r="C12" i="1"/>
  <c r="N11" i="1"/>
  <c r="C11" i="1"/>
  <c r="O9" i="1"/>
  <c r="C9" i="1"/>
  <c r="C13" i="1"/>
  <c r="C14" i="1" s="1"/>
  <c r="O13" i="1"/>
  <c r="O12" i="1"/>
  <c r="L12" i="1"/>
  <c r="L11" i="1"/>
  <c r="L10" i="1"/>
  <c r="M9" i="1"/>
  <c r="M13" i="1"/>
  <c r="M16" i="1" s="1"/>
  <c r="K9" i="1"/>
  <c r="M12" i="1"/>
  <c r="K13" i="1"/>
  <c r="K17" i="1" s="1"/>
  <c r="M11" i="1"/>
  <c r="L15" i="1"/>
  <c r="L16" i="1"/>
  <c r="L17" i="1"/>
  <c r="L18" i="1"/>
  <c r="L14" i="1"/>
  <c r="H12" i="1"/>
  <c r="H11" i="1"/>
  <c r="H10" i="1"/>
  <c r="J12" i="1"/>
  <c r="J11" i="1"/>
  <c r="J10" i="1"/>
  <c r="L9" i="1"/>
  <c r="J9" i="1"/>
  <c r="F9" i="1"/>
  <c r="F13" i="1"/>
  <c r="F12" i="1"/>
  <c r="J18" i="1"/>
  <c r="F11" i="1"/>
  <c r="J16" i="1"/>
  <c r="E9" i="1"/>
  <c r="E12" i="1"/>
  <c r="E11" i="1"/>
  <c r="H9" i="1"/>
  <c r="B10" i="1"/>
  <c r="J17" i="1"/>
  <c r="E10" i="1"/>
  <c r="B9" i="1"/>
  <c r="B13" i="1"/>
  <c r="D9" i="1"/>
  <c r="D13" i="1"/>
  <c r="D12" i="1"/>
  <c r="D11" i="1"/>
  <c r="B20" i="2" l="1"/>
  <c r="B21" i="2"/>
  <c r="B22" i="2"/>
  <c r="B23" i="2"/>
  <c r="B24" i="2"/>
  <c r="B25" i="2"/>
  <c r="B26" i="2"/>
  <c r="B27" i="2"/>
  <c r="B28" i="2"/>
  <c r="B19" i="2"/>
  <c r="C26" i="2"/>
  <c r="C24" i="2"/>
  <c r="C21" i="2"/>
  <c r="C25" i="2"/>
  <c r="C23" i="2"/>
  <c r="C22" i="2"/>
  <c r="C20" i="2"/>
  <c r="C19" i="2"/>
  <c r="C28" i="2"/>
  <c r="J25" i="1"/>
  <c r="J26" i="1"/>
  <c r="J27" i="1"/>
  <c r="J28" i="1"/>
  <c r="J24" i="1"/>
  <c r="M14" i="1"/>
  <c r="M15" i="1"/>
  <c r="C17" i="1"/>
  <c r="E24" i="1"/>
  <c r="E25" i="1"/>
  <c r="E26" i="1"/>
  <c r="E28" i="1"/>
  <c r="E27" i="1"/>
  <c r="M17" i="1"/>
  <c r="N14" i="1"/>
  <c r="K16" i="1"/>
  <c r="C18" i="1"/>
  <c r="C26" i="1" s="1"/>
  <c r="C15" i="1"/>
  <c r="P16" i="1"/>
  <c r="P17" i="1"/>
  <c r="P18" i="1"/>
  <c r="P21" i="1" s="1"/>
  <c r="H18" i="1"/>
  <c r="H24" i="1" s="1"/>
  <c r="P14" i="1"/>
  <c r="N17" i="1"/>
  <c r="N16" i="1"/>
  <c r="N15" i="1"/>
  <c r="N19" i="1"/>
  <c r="N20" i="1"/>
  <c r="N21" i="1"/>
  <c r="N22" i="1"/>
  <c r="N23" i="1"/>
  <c r="O18" i="1"/>
  <c r="O15" i="1"/>
  <c r="O16" i="1"/>
  <c r="O17" i="1"/>
  <c r="O14" i="1"/>
  <c r="H14" i="1"/>
  <c r="H16" i="1"/>
  <c r="H15" i="1"/>
  <c r="Q22" i="1"/>
  <c r="Q23" i="1"/>
  <c r="Q24" i="1"/>
  <c r="Q27" i="1"/>
  <c r="Q28" i="1"/>
  <c r="Q19" i="1"/>
  <c r="Q25" i="1"/>
  <c r="Q26" i="1"/>
  <c r="Q21" i="1"/>
  <c r="Q20" i="1"/>
  <c r="C16" i="1"/>
  <c r="K15" i="1"/>
  <c r="K18" i="1"/>
  <c r="K20" i="1" s="1"/>
  <c r="K14" i="1"/>
  <c r="M18" i="1"/>
  <c r="M25" i="1" s="1"/>
  <c r="M20" i="1"/>
  <c r="L20" i="1"/>
  <c r="L24" i="1"/>
  <c r="L25" i="1"/>
  <c r="L19" i="1"/>
  <c r="L21" i="1"/>
  <c r="L22" i="1"/>
  <c r="L23" i="1"/>
  <c r="L26" i="1"/>
  <c r="L27" i="1"/>
  <c r="L28" i="1"/>
  <c r="F16" i="1"/>
  <c r="F17" i="1"/>
  <c r="F18" i="1"/>
  <c r="F19" i="1" s="1"/>
  <c r="F14" i="1"/>
  <c r="F15" i="1"/>
  <c r="D16" i="1"/>
  <c r="D18" i="1"/>
  <c r="D15" i="1"/>
  <c r="D17" i="1"/>
  <c r="D14" i="1"/>
  <c r="B17" i="1"/>
  <c r="B18" i="1"/>
  <c r="B16" i="1"/>
  <c r="B14" i="1"/>
  <c r="B15" i="1"/>
  <c r="C25" i="1" l="1"/>
  <c r="C23" i="1"/>
  <c r="C22" i="1"/>
  <c r="P24" i="1"/>
  <c r="C28" i="1"/>
  <c r="P28" i="1"/>
  <c r="C21" i="1"/>
  <c r="N26" i="1"/>
  <c r="N27" i="1"/>
  <c r="N28" i="1"/>
  <c r="N24" i="1"/>
  <c r="N25" i="1"/>
  <c r="C19" i="1"/>
  <c r="C27" i="1"/>
  <c r="P19" i="1"/>
  <c r="C24" i="1"/>
  <c r="P23" i="1"/>
  <c r="C20" i="1"/>
  <c r="P22" i="1"/>
  <c r="P27" i="1"/>
  <c r="P26" i="1"/>
  <c r="P25" i="1"/>
  <c r="P20" i="1"/>
  <c r="H27" i="1"/>
  <c r="H28" i="1"/>
  <c r="H26" i="1"/>
  <c r="H25" i="1"/>
  <c r="H20" i="1"/>
  <c r="H23" i="1"/>
  <c r="H22" i="1"/>
  <c r="H21" i="1"/>
  <c r="H19" i="1"/>
  <c r="K28" i="1"/>
  <c r="K27" i="1"/>
  <c r="K26" i="1"/>
  <c r="K25" i="1"/>
  <c r="K24" i="1"/>
  <c r="K23" i="1"/>
  <c r="O20" i="1"/>
  <c r="O21" i="1"/>
  <c r="O22" i="1"/>
  <c r="O23" i="1"/>
  <c r="O24" i="1"/>
  <c r="O25" i="1"/>
  <c r="O26" i="1"/>
  <c r="O27" i="1"/>
  <c r="O28" i="1"/>
  <c r="O19" i="1"/>
  <c r="K22" i="1"/>
  <c r="M19" i="1"/>
  <c r="M28" i="1"/>
  <c r="M27" i="1"/>
  <c r="M22" i="1"/>
  <c r="K19" i="1"/>
  <c r="M24" i="1"/>
  <c r="M23" i="1"/>
  <c r="M21" i="1"/>
  <c r="M26" i="1"/>
  <c r="K21" i="1"/>
  <c r="D27" i="1"/>
  <c r="D22" i="1"/>
  <c r="D28" i="1"/>
  <c r="D19" i="1"/>
  <c r="D20" i="1"/>
  <c r="D21" i="1"/>
  <c r="D24" i="1"/>
  <c r="D23" i="1"/>
  <c r="D25" i="1"/>
  <c r="D26" i="1"/>
  <c r="F21" i="1"/>
  <c r="F23" i="1"/>
  <c r="F22" i="1"/>
  <c r="F24" i="1"/>
  <c r="F25" i="1"/>
  <c r="F26" i="1"/>
  <c r="F27" i="1"/>
  <c r="F28" i="1"/>
  <c r="F20" i="1"/>
  <c r="B21" i="1"/>
  <c r="B22" i="1"/>
  <c r="B24" i="1"/>
  <c r="B25" i="1"/>
  <c r="B26" i="1"/>
  <c r="B27" i="1"/>
  <c r="B20" i="1"/>
  <c r="B23" i="1"/>
  <c r="B28" i="1"/>
  <c r="B19" i="1"/>
</calcChain>
</file>

<file path=xl/sharedStrings.xml><?xml version="1.0" encoding="utf-8"?>
<sst xmlns="http://schemas.openxmlformats.org/spreadsheetml/2006/main" count="307" uniqueCount="244">
  <si>
    <t>Year</t>
  </si>
  <si>
    <t>Annual Capacity Growth Rates (% increase from 2024)</t>
  </si>
  <si>
    <t>Capacity - IEA (Base)</t>
  </si>
  <si>
    <t>IEA (Base)</t>
  </si>
  <si>
    <t>ICIS - (Base)</t>
  </si>
  <si>
    <t>MCKinsey (Base)</t>
  </si>
  <si>
    <t>Capacity - ICIS (Base)</t>
  </si>
  <si>
    <t>Capacity - McKinsey (Base)</t>
  </si>
  <si>
    <t>IEA (Pessimistic - Deflation)</t>
  </si>
  <si>
    <t>IEA (Pessimistic - Med)</t>
  </si>
  <si>
    <t>Capacity IEA (Pessimistic - Deflation)</t>
  </si>
  <si>
    <t>IEA (Lift-off)</t>
  </si>
  <si>
    <t>IEA (High-Efficiency)</t>
  </si>
  <si>
    <t>Capacity - IEA (Lift-Off)</t>
  </si>
  <si>
    <t>Capacity - IEA (Lift-High Efficiency)</t>
  </si>
  <si>
    <t>ICIS - (Pessimistic- Deflation)</t>
  </si>
  <si>
    <t>Capacity- ICIS (Pessimistic- Deflation)</t>
  </si>
  <si>
    <t>ICIS (Pessimistic - Med)</t>
  </si>
  <si>
    <t>Capacity- ICIS (Pessimistic- Med)</t>
  </si>
  <si>
    <t>Capacity - IEA (Pessimistic-Med)</t>
  </si>
  <si>
    <t>ICIS (Lift-off)</t>
  </si>
  <si>
    <t>Capacity- ICIS (Lift-Off)</t>
  </si>
  <si>
    <t>ICIS (High-Efficiency)</t>
  </si>
  <si>
    <t>Capacity- ICIS (High-Efficiency)</t>
  </si>
  <si>
    <t>McKinsey- (Pessimistic- Deflation)</t>
  </si>
  <si>
    <t>McKinsey (Pessimistic - Med)</t>
  </si>
  <si>
    <t>McKinsey (Lift-off)</t>
  </si>
  <si>
    <t>McKinsey(High-Efficiency)</t>
  </si>
  <si>
    <t>Capacity- McKinsey (Pessimistic- Deflation)</t>
  </si>
  <si>
    <t>Capacity- McKinsey (Pessimistic- Med)</t>
  </si>
  <si>
    <t>Capacity- MsKinsey (Lift-Off)</t>
  </si>
  <si>
    <t>Capacity- MsKinsey (High-Efficiency)</t>
  </si>
  <si>
    <t xml:space="preserve"> IEA (Lift-Off)</t>
  </si>
  <si>
    <t xml:space="preserve"> IEA (Base)</t>
  </si>
  <si>
    <t xml:space="preserve"> IEA (High-Efficiency)</t>
  </si>
  <si>
    <t xml:space="preserve"> IEA (Headwinds)</t>
  </si>
  <si>
    <t>Annual Growth Rate</t>
  </si>
  <si>
    <t>Base</t>
  </si>
  <si>
    <t>Lift-Off</t>
  </si>
  <si>
    <t>High-Efficiency</t>
  </si>
  <si>
    <t>Headwinds</t>
  </si>
  <si>
    <t>Pessimistic - Deflation</t>
  </si>
  <si>
    <t>Pessimistic - Med</t>
  </si>
  <si>
    <t>IEA (Pessimistic -End)</t>
  </si>
  <si>
    <t>Pessimistic- End</t>
  </si>
  <si>
    <t xml:space="preserve"> ICIS (Base)</t>
  </si>
  <si>
    <t xml:space="preserve"> ICIS (Lift-Off)</t>
  </si>
  <si>
    <t xml:space="preserve"> ICIS (High-Efficiency)</t>
  </si>
  <si>
    <t xml:space="preserve"> ICIS (Headwinds)</t>
  </si>
  <si>
    <t>ICIS (Pessimistic- Deflation)</t>
  </si>
  <si>
    <t>ICIS (Pessimistic- Med)</t>
  </si>
  <si>
    <t>ICIS (Pessimistic- End)</t>
  </si>
  <si>
    <t>McKinsey (Base)</t>
  </si>
  <si>
    <t>McKinsey (Lift-Off)</t>
  </si>
  <si>
    <t>McKinsey (High-Efficiency)</t>
  </si>
  <si>
    <t>McKinsey (Headwinds)</t>
  </si>
  <si>
    <t>McKinsey (Pessimistic- Deflation)</t>
  </si>
  <si>
    <t>McKinsey (Pessimistic- Med)</t>
  </si>
  <si>
    <t>McKinsey (Pessimistic- End)</t>
  </si>
  <si>
    <t>Assumption</t>
  </si>
  <si>
    <t>IEA Scenarios</t>
  </si>
  <si>
    <t>For all scenario, current capacity is considered 16 GW [1]</t>
  </si>
  <si>
    <t>IEA-Base (2024-2030)</t>
  </si>
  <si>
    <t>IEA-Base (2031-2035)</t>
  </si>
  <si>
    <t>IEA-Base (2036-2040)</t>
  </si>
  <si>
    <t>IEA-Base (2041-2050)</t>
  </si>
  <si>
    <t>IEA -Base</t>
  </si>
  <si>
    <t>IEA -Lift-Off</t>
  </si>
  <si>
    <t>IEA-Lift-Off (2024-2030)</t>
  </si>
  <si>
    <r>
      <t>The annual growth rateis assumed to be 50% of the rate observed between 2036–2040,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0.025</t>
    </r>
  </si>
  <si>
    <r>
      <t>The annual growth rateis assumed to be 50% of the rate observed between 2031–2035,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0.05</t>
    </r>
  </si>
  <si>
    <t>IEA -High Efficiency</t>
  </si>
  <si>
    <t>IEA-High-Efficiency (2024-2030)</t>
  </si>
  <si>
    <t>IEA-High-Efficiency (2031-2035)</t>
  </si>
  <si>
    <t>IEA-High-Efficiency (2036-2040)</t>
  </si>
  <si>
    <t>IEA-High-Efficiency (2041-2050)</t>
  </si>
  <si>
    <t>IEA-Lift-Off (2031-2035)</t>
  </si>
  <si>
    <t>IEA-Lift-Off (2036-2040)</t>
  </si>
  <si>
    <t>IEA-Lift-Off (2041-2050)</t>
  </si>
  <si>
    <r>
      <t>The annual growth rateis assumed to be 50% of the rate observed between 2031–2035,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0.046243</t>
    </r>
  </si>
  <si>
    <r>
      <t>The annual growth rateis assumed to be 50% of the rate observed between 2036–2040,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0.023122</t>
    </r>
  </si>
  <si>
    <r>
      <t>The annual growth rateis assumed to be 50% of the rate observed between 2036–2040,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0.031048</t>
    </r>
  </si>
  <si>
    <r>
      <t>The annual growth rateis assumed to be 50% of the rate observed between 2031–2035,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0.062095</t>
    </r>
  </si>
  <si>
    <t>IEA -Headwinds</t>
  </si>
  <si>
    <t>IEA-Headwinds (2024-2030)</t>
  </si>
  <si>
    <t>IEA-Headwinds (2031-2035)</t>
  </si>
  <si>
    <t>IEA-Headwinds (2036-2040)</t>
  </si>
  <si>
    <t>IEA-Headwinds (2041-2050)</t>
  </si>
  <si>
    <r>
      <t>The annual growth rateis assumed to be 50% of the rate observed between 2031–2035,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0.023857</t>
    </r>
  </si>
  <si>
    <r>
      <t>The annual growth rateis assumed to be 50% of the rate observed between 2036–2040,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0.011928</t>
    </r>
  </si>
  <si>
    <t>IEA -Pessimistic Deflation</t>
  </si>
  <si>
    <t>IEA-Pessimistic Deflation (2024-2030)</t>
  </si>
  <si>
    <t>IEA-Pessimistic Deflation (2031-2035)</t>
  </si>
  <si>
    <r>
      <t xml:space="preserve">The annual growth rate is assumped </t>
    </r>
    <r>
      <rPr>
        <b/>
        <sz val="11"/>
        <color rgb="FFFF0000"/>
        <rFont val="Calibri"/>
        <family val="2"/>
        <scheme val="minor"/>
      </rPr>
      <t xml:space="preserve">0.1 </t>
    </r>
  </si>
  <si>
    <r>
      <t>With installed capacity expected to reach 27 GW by 2030 [1] (representing 11.94% of global installed capacity), this corresponds to an annual growth rate of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0.11458 =(27-16)/16/6)</t>
    </r>
    <r>
      <rPr>
        <sz val="11"/>
        <color theme="1"/>
        <rFont val="Calibri"/>
        <family val="2"/>
        <scheme val="minor"/>
      </rPr>
      <t xml:space="preserve"> over the period 2024–2030</t>
    </r>
  </si>
  <si>
    <r>
      <t xml:space="preserve">According to [1], the global lift-off scenario in 2035 is projected to be 1.458 times the base scenario. Applying this factor, the EU installed capacity in 2035 becomes </t>
    </r>
    <r>
      <rPr>
        <b/>
        <sz val="11"/>
        <color theme="1"/>
        <rFont val="Calibri"/>
        <family val="2"/>
        <scheme val="minor"/>
      </rPr>
      <t xml:space="preserve">40.5×1.458=59.07 </t>
    </r>
    <r>
      <rPr>
        <sz val="11"/>
        <color theme="1"/>
        <rFont val="Calibri"/>
        <family val="2"/>
        <scheme val="minor"/>
      </rPr>
      <t xml:space="preserve">(representing 14.62% of global installed capacity). Based on this value, the implied annual growth rate between 2031 and 2035 is approximately </t>
    </r>
    <r>
      <rPr>
        <b/>
        <sz val="11"/>
        <color rgb="FFFF0000"/>
        <rFont val="Calibri"/>
        <family val="2"/>
        <scheme val="minor"/>
      </rPr>
      <t>0.12419= (59.07-36.44​)/36.44/5)</t>
    </r>
  </si>
  <si>
    <r>
      <t>According to [1], the global lift-off scenario in 2030 is projected to be 1.35 times the base scenario. Applying this factor, the EU installed capacity in 2030 becomes</t>
    </r>
    <r>
      <rPr>
        <b/>
        <sz val="11"/>
        <color theme="1"/>
        <rFont val="Calibri"/>
        <family val="2"/>
        <scheme val="minor"/>
      </rPr>
      <t xml:space="preserve"> 27×1.35=36.44 </t>
    </r>
    <r>
      <rPr>
        <sz val="11"/>
        <color theme="1"/>
        <rFont val="Calibri"/>
        <family val="2"/>
        <scheme val="minor"/>
      </rPr>
      <t xml:space="preserve">(representing 11.94% of global installed capacity). Based on this value, the implied annual growth rate between 2024 and 2030 is approximately </t>
    </r>
    <r>
      <rPr>
        <b/>
        <sz val="11"/>
        <color rgb="FFFF0000"/>
        <rFont val="Calibri"/>
        <family val="2"/>
        <scheme val="minor"/>
      </rPr>
      <t>0.2119= (36.44−16​)/16/6)</t>
    </r>
  </si>
  <si>
    <r>
      <t>According to [1], the global high-efficiency scenario in 2030 is projected to be 0.8185 times the base scenario. Applying this factor, the EU installed capacity in 2030 becomes</t>
    </r>
    <r>
      <rPr>
        <b/>
        <sz val="11"/>
        <color theme="1"/>
        <rFont val="Calibri"/>
        <family val="2"/>
        <scheme val="minor"/>
      </rPr>
      <t xml:space="preserve"> 27×0.8185=22.1</t>
    </r>
    <r>
      <rPr>
        <sz val="11"/>
        <color theme="1"/>
        <rFont val="Calibri"/>
        <family val="2"/>
        <scheme val="minor"/>
      </rPr>
      <t xml:space="preserve">(representing 14.62% of global installed capacity). Based on this value, the implied annual growth rate between 2024 and 2030 is approximately </t>
    </r>
    <r>
      <rPr>
        <b/>
        <sz val="11"/>
        <color rgb="FFFF0000"/>
        <rFont val="Calibri"/>
        <family val="2"/>
        <scheme val="minor"/>
      </rPr>
      <t>0.063536= (22.1−16​)/16/6)</t>
    </r>
  </si>
  <si>
    <r>
      <t xml:space="preserve">According to [1], the global lift-off scenario in 2035 is projected to be 0.798 times the base scenario. Applying this factor, the EU installed capacity in 2035 becomes </t>
    </r>
    <r>
      <rPr>
        <b/>
        <sz val="11"/>
        <color theme="1"/>
        <rFont val="Calibri"/>
        <family val="2"/>
        <scheme val="minor"/>
      </rPr>
      <t>40.5×0.798=32.32</t>
    </r>
    <r>
      <rPr>
        <sz val="11"/>
        <color theme="1"/>
        <rFont val="Calibri"/>
        <family val="2"/>
        <scheme val="minor"/>
      </rPr>
      <t xml:space="preserve"> (representing 14.62% of global installed capacity). Based on this value, the implied annual growth rate between 2031 and 2035 is approximately </t>
    </r>
    <r>
      <rPr>
        <b/>
        <sz val="11"/>
        <color rgb="FFFF0000"/>
        <rFont val="Calibri"/>
        <family val="2"/>
        <scheme val="minor"/>
      </rPr>
      <t>0.092486= (32.32-22.1​)/22.1/5)</t>
    </r>
  </si>
  <si>
    <r>
      <t xml:space="preserve">According to [1], the global Headwinds scenario in 2030 is projected to be 0.7 times the base scenario. Applying this factor, the EU installed capacity in 2030 becomes </t>
    </r>
    <r>
      <rPr>
        <b/>
        <sz val="11"/>
        <color theme="1"/>
        <rFont val="Calibri"/>
        <family val="2"/>
        <scheme val="minor"/>
      </rPr>
      <t>27×0.7=18.9</t>
    </r>
    <r>
      <rPr>
        <sz val="11"/>
        <color theme="1"/>
        <rFont val="Calibri"/>
        <family val="2"/>
        <scheme val="minor"/>
      </rPr>
      <t xml:space="preserve"> (representing 11.96% of global installed capacity). Based on this value, the implied annual growth rate between 2024 and 2030 is approximately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0.030208= (18.9−16​)/16/6)</t>
    </r>
  </si>
  <si>
    <r>
      <t xml:space="preserve">According to [1], the global lift-off scenario in 2035 is projected to be 0.798 times the base scenario. Applying this factor, the EU installed capacity in 2035 becomes </t>
    </r>
    <r>
      <rPr>
        <b/>
        <sz val="11"/>
        <color theme="1"/>
        <rFont val="Calibri"/>
        <family val="2"/>
        <scheme val="minor"/>
      </rPr>
      <t>40.5×0.578=23.409</t>
    </r>
    <r>
      <rPr>
        <sz val="11"/>
        <color theme="1"/>
        <rFont val="Calibri"/>
        <family val="2"/>
        <scheme val="minor"/>
      </rPr>
      <t xml:space="preserve"> (representing 14.62% of global installed capacity). Based on this value, the implied annual growth rate between 2031 and 2035 is approximately </t>
    </r>
    <r>
      <rPr>
        <b/>
        <sz val="11"/>
        <color rgb="FFFF0000"/>
        <rFont val="Calibri"/>
        <family val="2"/>
        <scheme val="minor"/>
      </rPr>
      <t>0.047714= (23.409-18.9)/18.9/5)</t>
    </r>
  </si>
  <si>
    <t xml:space="preserve">[1] IEA, "Energy and AI Observatory, Installed data centre capacity by region (GW)", 16 June 2025, Available: https://www.iea.org/data-and-statistics/data-tools/energy-and-ai-observatory?tab=Energy+for+AI  </t>
  </si>
  <si>
    <r>
      <t xml:space="preserve">Like IEA- Base 2024-2030: annual growth rate of </t>
    </r>
    <r>
      <rPr>
        <b/>
        <sz val="11"/>
        <color rgb="FFFF0000"/>
        <rFont val="Calibri"/>
        <family val="2"/>
        <scheme val="minor"/>
      </rPr>
      <t>0.11458 =(27-16)/16/6)</t>
    </r>
    <r>
      <rPr>
        <sz val="11"/>
        <color theme="1"/>
        <rFont val="Calibri"/>
        <family val="2"/>
        <scheme val="minor"/>
      </rPr>
      <t xml:space="preserve"> over the period 2024–2030</t>
    </r>
  </si>
  <si>
    <r>
      <t>The growth trend is assumed to reverse relative to the rate observed for the period 2031–2035, resulting in an annual growth rate of</t>
    </r>
    <r>
      <rPr>
        <b/>
        <sz val="11"/>
        <color rgb="FFFF0000"/>
        <rFont val="Calibri"/>
        <family val="2"/>
        <scheme val="minor"/>
      </rPr>
      <t xml:space="preserve"> –0.05</t>
    </r>
  </si>
  <si>
    <t>IEA-Pessimistic Deflation (2036-2045)</t>
  </si>
  <si>
    <t>IEA-Pessimistic Deflation (2046-2050)</t>
  </si>
  <si>
    <t>IEA -Pessimistic- Med</t>
  </si>
  <si>
    <t>IEA-Pessimistic Med (2024-2030)</t>
  </si>
  <si>
    <t>IEA-Pessimistic Med (2031-2035)</t>
  </si>
  <si>
    <r>
      <t xml:space="preserve">Like IEA- Base 2031-2035: annual growth rate is assumed to </t>
    </r>
    <r>
      <rPr>
        <b/>
        <sz val="11"/>
        <color rgb="FFFF0000"/>
        <rFont val="Calibri"/>
        <family val="2"/>
        <scheme val="minor"/>
      </rPr>
      <t>0.1</t>
    </r>
  </si>
  <si>
    <t>IEA-Pessimistic Med (2036-2040)</t>
  </si>
  <si>
    <t>IEA-Pessimistic Med (2041-2050)</t>
  </si>
  <si>
    <t>IEA -Pessimistic- End</t>
  </si>
  <si>
    <t>IEA-Pessimistic End (2024-2030)</t>
  </si>
  <si>
    <t>IEA-Pessimistic End (2031-2035)</t>
  </si>
  <si>
    <t>IEA-Pessimistic End (2036-2040)</t>
  </si>
  <si>
    <r>
      <t xml:space="preserve">Like IEA- Base 2031-2035, annual growth rate is assumped </t>
    </r>
    <r>
      <rPr>
        <b/>
        <sz val="11"/>
        <color rgb="FFFF0000"/>
        <rFont val="Calibri"/>
        <family val="2"/>
        <scheme val="minor"/>
      </rPr>
      <t xml:space="preserve">0.1 </t>
    </r>
  </si>
  <si>
    <r>
      <t xml:space="preserve">Like IEA- Base 2036-2040, annual growth rate is assumped </t>
    </r>
    <r>
      <rPr>
        <b/>
        <sz val="11"/>
        <color rgb="FFFF0000"/>
        <rFont val="Calibri"/>
        <family val="2"/>
        <scheme val="minor"/>
      </rPr>
      <t xml:space="preserve">0.05 </t>
    </r>
  </si>
  <si>
    <r>
      <t xml:space="preserve">The annual growth rateis assumed to be 50% of the rate observed between 2031–2035 for IEA-Base: </t>
    </r>
    <r>
      <rPr>
        <b/>
        <sz val="11"/>
        <color rgb="FFFF0000"/>
        <rFont val="Calibri"/>
        <family val="2"/>
        <scheme val="minor"/>
      </rPr>
      <t>0.05</t>
    </r>
  </si>
  <si>
    <r>
      <t xml:space="preserve">The growth trend is assumed to reverse—by 50%—relative to the rate observed for the period 2036–2045, resulting in an annual growth rate of </t>
    </r>
    <r>
      <rPr>
        <b/>
        <sz val="11"/>
        <color rgb="FFFF0000"/>
        <rFont val="Calibri"/>
        <family val="2"/>
        <scheme val="minor"/>
      </rPr>
      <t>0.025</t>
    </r>
  </si>
  <si>
    <t>IEA-Pessimistic End (2041-2045)</t>
  </si>
  <si>
    <r>
      <t xml:space="preserve">The growth trend is assumed to reverse—by 50%—relative to the rate observed for the period 2036–2040, resulting in an annual growth rate of </t>
    </r>
    <r>
      <rPr>
        <b/>
        <sz val="11"/>
        <color rgb="FFFF0000"/>
        <rFont val="Calibri"/>
        <family val="2"/>
        <scheme val="minor"/>
      </rPr>
      <t>-0.025</t>
    </r>
  </si>
  <si>
    <t>IEA-Pessimistic End (2046-2050)</t>
  </si>
  <si>
    <r>
      <t xml:space="preserve">The growth trend is assumed to reverse—by 50%—relative to the rate observed for the period 2036–2040, resulting in an annual growth rate of </t>
    </r>
    <r>
      <rPr>
        <b/>
        <sz val="11"/>
        <color rgb="FFFF0000"/>
        <rFont val="Calibri"/>
        <family val="2"/>
        <scheme val="minor"/>
      </rPr>
      <t>0.0125</t>
    </r>
  </si>
  <si>
    <t>ICIS -Base</t>
  </si>
  <si>
    <t>ICIS-Base (2031-2035)</t>
  </si>
  <si>
    <t>ICIS-Base (2024-2030)</t>
  </si>
  <si>
    <t>ICIS-Base (2036-2040)</t>
  </si>
  <si>
    <t>ICIS-Base (2041-2050)</t>
  </si>
  <si>
    <t>ICIS -Lift-Off</t>
  </si>
  <si>
    <t>ICIS-Lift-Off (2024-2030)</t>
  </si>
  <si>
    <t>ICIS-Lift-Off (2031-2035)</t>
  </si>
  <si>
    <t>ICIS-Lift-Off (2036-2040)</t>
  </si>
  <si>
    <t>ICIS -High Efficiency</t>
  </si>
  <si>
    <t>ICIS-High-Efficiency (2024-2030)</t>
  </si>
  <si>
    <t>ICIS-High-Efficiency (2036-2040)</t>
  </si>
  <si>
    <t>ICIS-High-Efficiency (2041-2050)</t>
  </si>
  <si>
    <t>ICIS-Headwinds (2024-2030)</t>
  </si>
  <si>
    <t>ICIS-Headwinds (2031-2035)</t>
  </si>
  <si>
    <t>ICIS-Headwinds (2036-2040)</t>
  </si>
  <si>
    <t>ICIS-Headwinds (2041-2050)</t>
  </si>
  <si>
    <t>ICIS -Pessimistic Deflation</t>
  </si>
  <si>
    <t>ICIS-Pessimistic Deflation (2024-2030)</t>
  </si>
  <si>
    <t>ICIS-Pessimistic Deflation (2031-2035)</t>
  </si>
  <si>
    <t>ICIS-Pessimistic Deflation (2036-2045)</t>
  </si>
  <si>
    <t>ICIS-Pessimistic Deflation (2046-2050)</t>
  </si>
  <si>
    <t>ICIS -Pessimistic- Med</t>
  </si>
  <si>
    <t>ICIS-Pessimistic Med (2024-2030)</t>
  </si>
  <si>
    <t>ICIS-Pessimistic Med (2031-2035)</t>
  </si>
  <si>
    <t>ICIS-Pessimistic Med (2036-2040)</t>
  </si>
  <si>
    <t>ICIS-Pessimistic Med (2041-2050)</t>
  </si>
  <si>
    <t>ICIS -Pessimistic- End</t>
  </si>
  <si>
    <t>ICIS-Pessimistic End (2024-2030)</t>
  </si>
  <si>
    <t>ICIS-Pessimistic End (2031-2035)</t>
  </si>
  <si>
    <t>ICIS-Pessimistic End (2036-2040)</t>
  </si>
  <si>
    <t>ICIS-Pessimistic End (2041-2045)</t>
  </si>
  <si>
    <t>ICIS-Pessimistic End (2046-2050)</t>
  </si>
  <si>
    <t>ICIS Scenarios</t>
  </si>
  <si>
    <r>
      <t>With installed capacity expected to reach 17.5 GW by 2030 [2], while current Europe capacity is considered 9.2, this corresponds to an annual growth rate of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0.15 =(17.5-9.2)/9.2/6)</t>
    </r>
    <r>
      <rPr>
        <sz val="11"/>
        <color theme="1"/>
        <rFont val="Calibri"/>
        <family val="2"/>
        <scheme val="minor"/>
      </rPr>
      <t xml:space="preserve"> over the period 2024–2030. </t>
    </r>
  </si>
  <si>
    <r>
      <t xml:space="preserve">With installed capacity expected to reach 26.6 GW by 2035 [2], this corresponds to an annual growth rate of </t>
    </r>
    <r>
      <rPr>
        <b/>
        <sz val="11"/>
        <color rgb="FFFF0000"/>
        <rFont val="Calibri"/>
        <family val="2"/>
        <scheme val="minor"/>
      </rPr>
      <t>0.1 =(26.6-17.5)/17.5/5)</t>
    </r>
    <r>
      <rPr>
        <sz val="11"/>
        <color theme="1"/>
        <rFont val="Calibri"/>
        <family val="2"/>
        <scheme val="minor"/>
      </rPr>
      <t xml:space="preserve"> over the period 2031–2035. </t>
    </r>
  </si>
  <si>
    <r>
      <t>According to [1], the global lift-off scenario in 2030 is projected to be 1.35 times the base scenario. Applying this factor, the EU installed capacity in 2030 for ICIS Lift-Off becomes</t>
    </r>
    <r>
      <rPr>
        <b/>
        <sz val="11"/>
        <color theme="1"/>
        <rFont val="Calibri"/>
        <family val="2"/>
        <scheme val="minor"/>
      </rPr>
      <t xml:space="preserve"> 30.4×1.35=41.04</t>
    </r>
    <r>
      <rPr>
        <sz val="11"/>
        <color theme="1"/>
        <rFont val="Calibri"/>
        <family val="2"/>
        <scheme val="minor"/>
      </rPr>
      <t xml:space="preserve">. Based on this value, the implied annual growth rate between 2024 and 2030 is approximately </t>
    </r>
    <r>
      <rPr>
        <b/>
        <sz val="11"/>
        <color rgb="FFFF0000"/>
        <rFont val="Calibri"/>
        <family val="2"/>
        <scheme val="minor"/>
      </rPr>
      <t>0.26083= (41.04−16​)/16/6)</t>
    </r>
  </si>
  <si>
    <r>
      <t xml:space="preserve">According to [1], the global lift-off scenario in 2035 is projected to be 1.458 times the base scenario. Applying this factor, the EU installed capacity in 2035 becomes </t>
    </r>
    <r>
      <rPr>
        <b/>
        <sz val="11"/>
        <color theme="1"/>
        <rFont val="Calibri"/>
        <family val="2"/>
        <scheme val="minor"/>
      </rPr>
      <t>45.6×1.458=66.48</t>
    </r>
    <r>
      <rPr>
        <sz val="11"/>
        <color theme="1"/>
        <rFont val="Calibri"/>
        <family val="2"/>
        <scheme val="minor"/>
      </rPr>
      <t xml:space="preserve">. Based on this value, the implied annual growth rate between 2031 and 2035 is approximately </t>
    </r>
    <r>
      <rPr>
        <b/>
        <sz val="11"/>
        <color rgb="FFFF0000"/>
        <rFont val="Calibri"/>
        <family val="2"/>
        <scheme val="minor"/>
      </rPr>
      <t>0.124= (66.48-41.04​)/41.04/5)</t>
    </r>
  </si>
  <si>
    <r>
      <t>The annual growth rateis assumed to be 50% of the rate observed between 2031–2035,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0.062</t>
    </r>
  </si>
  <si>
    <r>
      <t>The annual growth rateis assumed to be 50% of the rate observed between 2036–2040,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0.031</t>
    </r>
  </si>
  <si>
    <t>ICIS-Lift-Off (2041-2050)</t>
  </si>
  <si>
    <r>
      <t>According to [1], the global high-efficiency scenario in 2030 is projected to be 0.8185 times the base scenario. Applying this factor, the EU installed capacity in 2030 becomes</t>
    </r>
    <r>
      <rPr>
        <b/>
        <sz val="11"/>
        <color theme="1"/>
        <rFont val="Calibri"/>
        <family val="2"/>
        <scheme val="minor"/>
      </rPr>
      <t xml:space="preserve"> 30.4×0.8185=24.8824</t>
    </r>
    <r>
      <rPr>
        <sz val="11"/>
        <color theme="1"/>
        <rFont val="Calibri"/>
        <family val="2"/>
        <scheme val="minor"/>
      </rPr>
      <t xml:space="preserve">. Based on this value, the implied annual growth rate between 2024 and 2030 is approximately </t>
    </r>
    <r>
      <rPr>
        <b/>
        <sz val="11"/>
        <color rgb="FFFF0000"/>
        <rFont val="Calibri"/>
        <family val="2"/>
        <scheme val="minor"/>
      </rPr>
      <t>0.092525= (24.8824−16​)/16/6)</t>
    </r>
  </si>
  <si>
    <t>ICIS-High-Efficiency (2031-2035)</t>
  </si>
  <si>
    <r>
      <t>The annual growth rateis assumed to be 50% of the rate observed between 2036–2040,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0.02313</t>
    </r>
  </si>
  <si>
    <r>
      <t>The annual growth rateis assumed to be 50% of the rate observed between 2031–2035,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0.046262</t>
    </r>
  </si>
  <si>
    <r>
      <t xml:space="preserve">According to [1], the global lift-off scenario in 2035 is projected to be 0.798 times the base scenario. Applying this factor, the EU installed capacity in 2035 becomes </t>
    </r>
    <r>
      <rPr>
        <b/>
        <sz val="11"/>
        <color theme="1"/>
        <rFont val="Calibri"/>
        <family val="2"/>
        <scheme val="minor"/>
      </rPr>
      <t>45.6×0.798=36.39</t>
    </r>
    <r>
      <rPr>
        <sz val="11"/>
        <color theme="1"/>
        <rFont val="Calibri"/>
        <family val="2"/>
        <scheme val="minor"/>
      </rPr>
      <t xml:space="preserve">. Based on this value, the implied annual growth rate between 2031 and 2035 is approximately </t>
    </r>
    <r>
      <rPr>
        <b/>
        <sz val="11"/>
        <color rgb="FFFF0000"/>
        <rFont val="Calibri"/>
        <family val="2"/>
        <scheme val="minor"/>
      </rPr>
      <t>0.092524= (36.39-24.8824​)/24.8824/5)</t>
    </r>
  </si>
  <si>
    <t>ICIS -Headwinds</t>
  </si>
  <si>
    <r>
      <t xml:space="preserve">According to [1], the global Headwinds scenario in 2030 is projected to be 0.7 times the base scenario. Applying this factor, the EU installed capacity in 2030 becomes </t>
    </r>
    <r>
      <rPr>
        <b/>
        <sz val="11"/>
        <color theme="1"/>
        <rFont val="Calibri"/>
        <family val="2"/>
        <scheme val="minor"/>
      </rPr>
      <t>30.4×0.7=21.28</t>
    </r>
    <r>
      <rPr>
        <sz val="11"/>
        <color theme="1"/>
        <rFont val="Calibri"/>
        <family val="2"/>
        <scheme val="minor"/>
      </rPr>
      <t>. Based on this value, the implied annual growth rate between 2024 and 2030 is approximately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0.055= (21.28−16​)/16/6)</t>
    </r>
  </si>
  <si>
    <r>
      <t xml:space="preserve">According to [1], the global lift-off scenario in 2035 is projected to be 0.798 times the base scenario. Applying this factor, the EU installed capacity in 2035 becomes </t>
    </r>
    <r>
      <rPr>
        <b/>
        <sz val="11"/>
        <color theme="1"/>
        <rFont val="Calibri"/>
        <family val="2"/>
        <scheme val="minor"/>
      </rPr>
      <t>45.6×0.578=26.36</t>
    </r>
    <r>
      <rPr>
        <sz val="11"/>
        <color theme="1"/>
        <rFont val="Calibri"/>
        <family val="2"/>
        <scheme val="minor"/>
      </rPr>
      <t xml:space="preserve">. Based on this value, the implied annual growth rate between 2031 and 2035 is approximately </t>
    </r>
    <r>
      <rPr>
        <b/>
        <sz val="11"/>
        <color rgb="FFFF0000"/>
        <rFont val="Calibri"/>
        <family val="2"/>
        <scheme val="minor"/>
      </rPr>
      <t>0.04771= (26.36-21.28)/21.28/5)</t>
    </r>
  </si>
  <si>
    <r>
      <t>The annual growth rateis assumed to be 50% of the rate observed between 2031–2035,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0.02385</t>
    </r>
  </si>
  <si>
    <r>
      <t>The annual growth rateis assumed to be 50% of the rate observed between 2036–2040,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0.01192</t>
    </r>
  </si>
  <si>
    <r>
      <t xml:space="preserve">The annual growth rateis assumed to be 50% of the rate observed between 2031–2035 for ICIS-Base: </t>
    </r>
    <r>
      <rPr>
        <b/>
        <sz val="11"/>
        <color rgb="FFFF0000"/>
        <rFont val="Calibri"/>
        <family val="2"/>
        <scheme val="minor"/>
      </rPr>
      <t>0.05</t>
    </r>
  </si>
  <si>
    <r>
      <t xml:space="preserve">Like ICIS- Base 2024-2030: annual growth rate of </t>
    </r>
    <r>
      <rPr>
        <b/>
        <sz val="11"/>
        <color rgb="FFFF0000"/>
        <rFont val="Calibri"/>
        <family val="2"/>
        <scheme val="minor"/>
      </rPr>
      <t>0.15 =(17.5-9.2)/9.2/6)</t>
    </r>
    <r>
      <rPr>
        <sz val="11"/>
        <color theme="1"/>
        <rFont val="Calibri"/>
        <family val="2"/>
        <scheme val="minor"/>
      </rPr>
      <t xml:space="preserve"> over the period 2024–2030</t>
    </r>
  </si>
  <si>
    <r>
      <t xml:space="preserve">Like ICIS- Base 2031-2035: annual growth rate is </t>
    </r>
    <r>
      <rPr>
        <b/>
        <sz val="11"/>
        <color rgb="FFFF0000"/>
        <rFont val="Calibri"/>
        <family val="2"/>
        <scheme val="minor"/>
      </rPr>
      <t>0.1</t>
    </r>
  </si>
  <si>
    <r>
      <t xml:space="preserve">Like ICIS- Base 2036-2040, annual growth rate is assumped </t>
    </r>
    <r>
      <rPr>
        <b/>
        <sz val="11"/>
        <color rgb="FFFF0000"/>
        <rFont val="Calibri"/>
        <family val="2"/>
        <scheme val="minor"/>
      </rPr>
      <t xml:space="preserve">0.05 </t>
    </r>
  </si>
  <si>
    <t xml:space="preserve">[2] I.C.I.S, "Data centres: Hungry for power, Forecasting European power demand from data centres to 2035", 2025, Available: https://www.icis.com/explore/resources/data-centres-hungry-for-power/  </t>
  </si>
  <si>
    <t>McKinsey Scenarios</t>
  </si>
  <si>
    <t>McKinsey-Base</t>
  </si>
  <si>
    <t>McKinsey-Base (2024-2030)</t>
  </si>
  <si>
    <t>McKinsey-Base (2031-2035)</t>
  </si>
  <si>
    <t>McKinsey-Base (2036-2040)</t>
  </si>
  <si>
    <t>McKinsey-Base (2041-2050)</t>
  </si>
  <si>
    <t>McKinsey -Lift-Off</t>
  </si>
  <si>
    <t>McKinsey-Lift-Off (2024-2030)</t>
  </si>
  <si>
    <t>McKinsey-Lift-Off (2031-2035)</t>
  </si>
  <si>
    <t>McKinsey-Lift-Off (2036-2040)</t>
  </si>
  <si>
    <t>McKinsey-Lift-Off (2041-2050)</t>
  </si>
  <si>
    <t>McKinsey -High Efficiency</t>
  </si>
  <si>
    <t>McKinsey-High-Efficiency (2024-2030)</t>
  </si>
  <si>
    <t>McKinsey-High-Efficiency (2031-2035)</t>
  </si>
  <si>
    <t>McKinsey-High-Efficiency (2036-2040)</t>
  </si>
  <si>
    <t>McKinsey-High-Efficiency (2041-2050)</t>
  </si>
  <si>
    <t>McKinsey -Headwinds</t>
  </si>
  <si>
    <t>McKinsey-Headwinds (2024-2030)</t>
  </si>
  <si>
    <t>McKinsey-Headwinds (2031-2035)</t>
  </si>
  <si>
    <t>McKinsey-Headwinds (2036-2040)</t>
  </si>
  <si>
    <t>McKinsey-Headwinds (2041-2050)</t>
  </si>
  <si>
    <t>McKinsey -Pessimistic Deflation</t>
  </si>
  <si>
    <t>McKinsey-Pessimistic Deflation (2024-2030)</t>
  </si>
  <si>
    <t>McKinsey-Pessimistic Deflation (2031-2035)</t>
  </si>
  <si>
    <t>McKinsey-Pessimistic Deflation (2036-2045)</t>
  </si>
  <si>
    <t>McKinsey-Pessimistic Deflation (2046-2050)</t>
  </si>
  <si>
    <t>McKinsey -Pessimistic- Med</t>
  </si>
  <si>
    <t>McKinsey-Pessimistic Med (2024-2030)</t>
  </si>
  <si>
    <t>McKinsey-Pessimistic Med (2031-2035)</t>
  </si>
  <si>
    <t>McKinsey-Pessimistic Med (2036-2040)</t>
  </si>
  <si>
    <t>McKinsey-Pessimistic Med (2041-2050)</t>
  </si>
  <si>
    <t>McKinsey -Pessimistic- End</t>
  </si>
  <si>
    <t>McKinsey-Pessimistic End (2024-2030)</t>
  </si>
  <si>
    <t>McKinsey-Pessimistic End (2031-2035)</t>
  </si>
  <si>
    <t>McKinsey-Pessimistic End (2036-2040)</t>
  </si>
  <si>
    <t>McKinsey-Pessimistic End (2041-2045)</t>
  </si>
  <si>
    <t>McKinsey-Pessimistic End (2046-2050)</t>
  </si>
  <si>
    <r>
      <t xml:space="preserve">The annual growth rate is assumped </t>
    </r>
    <r>
      <rPr>
        <b/>
        <sz val="11"/>
        <color rgb="FFFF0000"/>
        <rFont val="Calibri"/>
        <family val="2"/>
        <scheme val="minor"/>
      </rPr>
      <t>0.15</t>
    </r>
  </si>
  <si>
    <r>
      <t>The annual growth rateis assumed to be 50% of the rate observed between 2031–2035,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0.075</t>
    </r>
  </si>
  <si>
    <r>
      <t>The annual growth rateis assumed to be 50% of the rate observed between 2036–2040,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0.0375</t>
    </r>
  </si>
  <si>
    <r>
      <t>With installed capacity expected to reach 35 GW by 2030 [3], while the Europe capacity for 2023 is 10 GW. Hence, the McKinsey &amp; Company projects the  ~</t>
    </r>
    <r>
      <rPr>
        <b/>
        <sz val="11"/>
        <color rgb="FFFF0000"/>
        <rFont val="Calibri"/>
        <family val="2"/>
        <scheme val="minor"/>
      </rPr>
      <t>20% (0.198 =(35-16)/16/6)</t>
    </r>
    <r>
      <rPr>
        <sz val="11"/>
        <color theme="1"/>
        <rFont val="Calibri"/>
        <family val="2"/>
        <scheme val="minor"/>
      </rPr>
      <t xml:space="preserve"> over the period 2023–2030. </t>
    </r>
  </si>
  <si>
    <r>
      <t>According to [1], the global lift-off scenario in 2030 is projected to be 1.35 times the base scenario. Applying this factor, the EU installed capacity in 2030 for McKinsey Lift-Off becomes</t>
    </r>
    <r>
      <rPr>
        <b/>
        <sz val="11"/>
        <color theme="1"/>
        <rFont val="Calibri"/>
        <family val="2"/>
        <scheme val="minor"/>
      </rPr>
      <t xml:space="preserve"> 35.2×1.35=47.52</t>
    </r>
    <r>
      <rPr>
        <sz val="11"/>
        <color theme="1"/>
        <rFont val="Calibri"/>
        <family val="2"/>
        <scheme val="minor"/>
      </rPr>
      <t xml:space="preserve">. Based on this value, the implied annual growth rate between 2024 and 2030 is approximately </t>
    </r>
    <r>
      <rPr>
        <b/>
        <sz val="11"/>
        <color rgb="FFFF0000"/>
        <rFont val="Calibri"/>
        <family val="2"/>
        <scheme val="minor"/>
      </rPr>
      <t>0.32833= (47.52−16​)/16/6)</t>
    </r>
  </si>
  <si>
    <r>
      <t xml:space="preserve">According to [1], the global lift-off scenario in 2035 is projected to be 1.458 times the base scenario. Applying this factor, the EU installed capacity in 2035 becomes </t>
    </r>
    <r>
      <rPr>
        <b/>
        <sz val="11"/>
        <color theme="1"/>
        <rFont val="Calibri"/>
        <family val="2"/>
        <scheme val="minor"/>
      </rPr>
      <t>61.6×1.458=89.8128</t>
    </r>
    <r>
      <rPr>
        <sz val="11"/>
        <color theme="1"/>
        <rFont val="Calibri"/>
        <family val="2"/>
        <scheme val="minor"/>
      </rPr>
      <t xml:space="preserve">. Based on this value, the implied annual growth rate between 2031 and 2035 is approximately </t>
    </r>
    <r>
      <rPr>
        <b/>
        <sz val="11"/>
        <color rgb="FFFF0000"/>
        <rFont val="Calibri"/>
        <family val="2"/>
        <scheme val="minor"/>
      </rPr>
      <t>0.178= (89.8128-47.52)/47.52/5)</t>
    </r>
  </si>
  <si>
    <r>
      <t>The annual growth rateis assumed to be 50% of the rate observed between 2031–2035,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0.089</t>
    </r>
  </si>
  <si>
    <r>
      <t>The annual growth rateis assumed to be 50% of the rate observed between 2036–2040,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0.0445</t>
    </r>
  </si>
  <si>
    <r>
      <t>According to [1], the global high-efficiency scenario in 2030 is projected to be 0.8185 times the base scenario. Applying this factor, the EU installed capacity in 2030 becomes</t>
    </r>
    <r>
      <rPr>
        <b/>
        <sz val="11"/>
        <color theme="1"/>
        <rFont val="Calibri"/>
        <family val="2"/>
        <scheme val="minor"/>
      </rPr>
      <t xml:space="preserve"> 35.2×0.8185=28.8112</t>
    </r>
    <r>
      <rPr>
        <sz val="11"/>
        <color theme="1"/>
        <rFont val="Calibri"/>
        <family val="2"/>
        <scheme val="minor"/>
      </rPr>
      <t xml:space="preserve">. Based on this value, the implied annual growth rate between 2024 and 2030 is approximately </t>
    </r>
    <r>
      <rPr>
        <b/>
        <sz val="11"/>
        <color rgb="FFFF0000"/>
        <rFont val="Calibri"/>
        <family val="2"/>
        <scheme val="minor"/>
      </rPr>
      <t>0.13345= (28.8112−16​)/16/6)</t>
    </r>
  </si>
  <si>
    <r>
      <t xml:space="preserve">According to [1], the global lift-off scenario in 2035 is projected to be 0.798 times the base scenario. Applying this factor, the EU installed capacity in 2035 becomes </t>
    </r>
    <r>
      <rPr>
        <b/>
        <sz val="11"/>
        <color theme="1"/>
        <rFont val="Calibri"/>
        <family val="2"/>
        <scheme val="minor"/>
      </rPr>
      <t>61.6×0.798=49.1568</t>
    </r>
    <r>
      <rPr>
        <sz val="11"/>
        <color theme="1"/>
        <rFont val="Calibri"/>
        <family val="2"/>
        <scheme val="minor"/>
      </rPr>
      <t xml:space="preserve">. Based on this value, the implied annual growth rate between 2031 and 2035 is approximately </t>
    </r>
    <r>
      <rPr>
        <b/>
        <sz val="11"/>
        <color rgb="FFFF0000"/>
        <rFont val="Calibri"/>
        <family val="2"/>
        <scheme val="minor"/>
      </rPr>
      <t>0.1412= (49.1568​-28.8112)/28.8112/5)</t>
    </r>
  </si>
  <si>
    <r>
      <t>The annual growth rateis assumed to be 50% of the rate observed between 2036–2040,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0.0353</t>
    </r>
  </si>
  <si>
    <r>
      <t>The annual growth rateis assumed to be 50% of the rate observed between 2031–2035,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0.07062</t>
    </r>
  </si>
  <si>
    <r>
      <t xml:space="preserve">According to [1], the global Headwinds scenario in 2030 is projected to be 0.7 times the base scenario. Applying this factor, the EU installed capacity in 2030 becomes </t>
    </r>
    <r>
      <rPr>
        <b/>
        <sz val="11"/>
        <color theme="1"/>
        <rFont val="Calibri"/>
        <family val="2"/>
        <scheme val="minor"/>
      </rPr>
      <t>35.2×0.7=24.64</t>
    </r>
    <r>
      <rPr>
        <sz val="11"/>
        <color theme="1"/>
        <rFont val="Calibri"/>
        <family val="2"/>
        <scheme val="minor"/>
      </rPr>
      <t>. Based on this value, the implied annual growth rate between 2024 and 2030 is approximately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0.09= (24.64−16​)/16/6)</t>
    </r>
  </si>
  <si>
    <r>
      <t xml:space="preserve">According to [1], the global lift-off scenario in 2035 is projected to be 0.798 times the base scenario. Applying this factor, the EU installed capacity in 2035 becomes </t>
    </r>
    <r>
      <rPr>
        <b/>
        <sz val="11"/>
        <color theme="1"/>
        <rFont val="Calibri"/>
        <family val="2"/>
        <scheme val="minor"/>
      </rPr>
      <t>61.6×0.578=35.6048</t>
    </r>
    <r>
      <rPr>
        <sz val="11"/>
        <color theme="1"/>
        <rFont val="Calibri"/>
        <family val="2"/>
        <scheme val="minor"/>
      </rPr>
      <t xml:space="preserve">. Based on this value, the implied annual growth rate between 2031 and 2035 is approximately </t>
    </r>
    <r>
      <rPr>
        <b/>
        <sz val="11"/>
        <color rgb="FFFF0000"/>
        <rFont val="Calibri"/>
        <family val="2"/>
        <scheme val="minor"/>
      </rPr>
      <t>0.089= (35.6048-24.64)/24.64/5)</t>
    </r>
  </si>
  <si>
    <r>
      <t>The annual growth rateis assumed to be 50% of the rate observed between 2031–2035,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0.0445</t>
    </r>
  </si>
  <si>
    <r>
      <t>The annual growth rateis assumed to be 50% of the rate observed between 2036–2040, resulting in an estimated value of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0.02225</t>
    </r>
  </si>
  <si>
    <r>
      <t xml:space="preserve">Like McKinsey- Base 2024-2030: annual growth rate of </t>
    </r>
    <r>
      <rPr>
        <b/>
        <sz val="11"/>
        <color rgb="FFFF0000"/>
        <rFont val="Calibri"/>
        <family val="2"/>
        <scheme val="minor"/>
      </rPr>
      <t>0.2 =(35.2-16)/16/6)</t>
    </r>
    <r>
      <rPr>
        <sz val="11"/>
        <color theme="1"/>
        <rFont val="Calibri"/>
        <family val="2"/>
        <scheme val="minor"/>
      </rPr>
      <t xml:space="preserve"> over the period 2024–2030</t>
    </r>
  </si>
  <si>
    <r>
      <t xml:space="preserve">The annual growth rateis assumed to be 50% of the rate observed between 2031–2035: </t>
    </r>
    <r>
      <rPr>
        <b/>
        <sz val="11"/>
        <color rgb="FFFF0000"/>
        <rFont val="Calibri"/>
        <family val="2"/>
        <scheme val="minor"/>
      </rPr>
      <t>0.1</t>
    </r>
  </si>
  <si>
    <r>
      <t>The growth trend is assumed to reverse—by 50%—relative to the rate observed for the period 2031–2035, resulting in an annual growth rate of</t>
    </r>
    <r>
      <rPr>
        <b/>
        <sz val="11"/>
        <color rgb="FFFF0000"/>
        <rFont val="Calibri"/>
        <family val="2"/>
        <scheme val="minor"/>
      </rPr>
      <t xml:space="preserve"> -0.05</t>
    </r>
  </si>
  <si>
    <r>
      <t xml:space="preserve">Like McKinsey- Base 2031-2035: annual growth rate is </t>
    </r>
    <r>
      <rPr>
        <b/>
        <sz val="11"/>
        <color rgb="FFFF0000"/>
        <rFont val="Calibri"/>
        <family val="2"/>
        <scheme val="minor"/>
      </rPr>
      <t>0.15</t>
    </r>
  </si>
  <si>
    <r>
      <t>The growth trend is assumed to reverse—by 50%— relative to the rate observed for the period 2031–2035, resulting in an annual growth rate of</t>
    </r>
    <r>
      <rPr>
        <b/>
        <sz val="11"/>
        <color rgb="FFFF0000"/>
        <rFont val="Calibri"/>
        <family val="2"/>
        <scheme val="minor"/>
      </rPr>
      <t xml:space="preserve"> –0.05</t>
    </r>
  </si>
  <si>
    <r>
      <t>The growth trend is assumed to reverse—by 50%— relative to the rate observed for the period 2031–2035, resulting in an annual growth rate of</t>
    </r>
    <r>
      <rPr>
        <b/>
        <sz val="11"/>
        <color rgb="FFFF0000"/>
        <rFont val="Calibri"/>
        <family val="2"/>
        <scheme val="minor"/>
      </rPr>
      <t xml:space="preserve"> –0.075</t>
    </r>
  </si>
  <si>
    <r>
      <t xml:space="preserve">The growth trend is assumed to reverse—by 50%—relative to the rate observed for the period 2036–2045, resulting in an annual growth rate of </t>
    </r>
    <r>
      <rPr>
        <b/>
        <sz val="11"/>
        <color rgb="FFFF0000"/>
        <rFont val="Calibri"/>
        <family val="2"/>
        <scheme val="minor"/>
      </rPr>
      <t>0.0375</t>
    </r>
  </si>
  <si>
    <r>
      <t xml:space="preserve">Like McKinsey- Base 2036-2040, annual growth rate is assumped </t>
    </r>
    <r>
      <rPr>
        <b/>
        <sz val="11"/>
        <color rgb="FFFF0000"/>
        <rFont val="Calibri"/>
        <family val="2"/>
        <scheme val="minor"/>
      </rPr>
      <t xml:space="preserve">0.075 </t>
    </r>
  </si>
  <si>
    <r>
      <t xml:space="preserve">The growth trend is assumed to reverse—by 50%—relative to the rate observed for the period 2036–2040, resulting in an annual growth rate of </t>
    </r>
    <r>
      <rPr>
        <b/>
        <sz val="11"/>
        <color rgb="FFFF0000"/>
        <rFont val="Calibri"/>
        <family val="2"/>
        <scheme val="minor"/>
      </rPr>
      <t>-0.0375</t>
    </r>
  </si>
  <si>
    <r>
      <t xml:space="preserve">The growth trend is assumed to reverse—by 50%—relative to the rate observed for the period 2036–2040, resulting in an annual growth rate of </t>
    </r>
    <r>
      <rPr>
        <b/>
        <sz val="11"/>
        <color rgb="FFFF0000"/>
        <rFont val="Calibri"/>
        <family val="2"/>
        <scheme val="minor"/>
      </rPr>
      <t>0.01875</t>
    </r>
  </si>
  <si>
    <t xml:space="preserve">[3] McKinsey &amp; Company, "The role of power in unlocking the European AI revolution", October 2024, Available: https://www.mckinsey.com/industries/electric-power-and-natural-gas/our-insights/the-role-of-power-in-unlocking-the-european-ai-revolution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</si>
</sst>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8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164" fontId="0" fillId="0" borderId="0" xfId="0" applyNumberFormat="1"/>
    <xf numFmtId="0" fontId="0" fillId="5" borderId="0" xfId="0" applyFill="1" applyAlignment="1">
      <alignment horizontal="center"/>
    </xf>
    <xf numFmtId="0" fontId="2" fillId="0" borderId="0" xfId="2" applyAlignment="1">
      <alignment horizontal="center"/>
    </xf>
    <xf numFmtId="0" fontId="8" fillId="0" borderId="0" xfId="0" applyFont="1" applyAlignment="1">
      <alignment horizontal="left" wrapText="1"/>
    </xf>
    <xf numFmtId="0" fontId="0" fillId="11" borderId="13" xfId="0" applyFill="1" applyBorder="1"/>
    <xf numFmtId="0" fontId="0" fillId="11" borderId="14" xfId="0" applyFill="1" applyBorder="1"/>
    <xf numFmtId="0" fontId="0" fillId="11" borderId="15" xfId="0" applyFill="1" applyBorder="1"/>
    <xf numFmtId="0" fontId="0" fillId="0" borderId="16" xfId="0" applyBorder="1"/>
    <xf numFmtId="0" fontId="0" fillId="0" borderId="17" xfId="0" applyBorder="1"/>
    <xf numFmtId="0" fontId="0" fillId="11" borderId="12" xfId="0" applyFill="1" applyBorder="1"/>
    <xf numFmtId="0" fontId="0" fillId="11" borderId="16" xfId="0" applyFill="1" applyBorder="1"/>
    <xf numFmtId="0" fontId="0" fillId="11" borderId="0" xfId="0" applyFill="1"/>
    <xf numFmtId="0" fontId="0" fillId="11" borderId="17" xfId="0" applyFill="1" applyBorder="1"/>
    <xf numFmtId="0" fontId="0" fillId="7" borderId="0" xfId="0" applyFill="1"/>
    <xf numFmtId="0" fontId="0" fillId="7" borderId="0" xfId="0" applyFill="1" applyAlignment="1">
      <alignment horizontal="center" wrapText="1"/>
    </xf>
    <xf numFmtId="0" fontId="4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6" fillId="9" borderId="2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9" borderId="23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3" xfId="0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6" fillId="6" borderId="2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/>
    </xf>
    <xf numFmtId="0" fontId="7" fillId="7" borderId="22" xfId="0" applyFont="1" applyFill="1" applyBorder="1" applyAlignment="1">
      <alignment horizontal="center"/>
    </xf>
    <xf numFmtId="0" fontId="7" fillId="7" borderId="23" xfId="0" applyFont="1" applyFill="1" applyBorder="1" applyAlignment="1">
      <alignment horizontal="center"/>
    </xf>
    <xf numFmtId="0" fontId="8" fillId="7" borderId="0" xfId="0" applyFont="1" applyFill="1" applyAlignment="1">
      <alignment horizontal="left" wrapText="1"/>
    </xf>
    <xf numFmtId="0" fontId="0" fillId="0" borderId="22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6" fillId="13" borderId="2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0" borderId="0" xfId="0" applyFont="1" applyAlignment="1">
      <alignment horizontal="left" wrapText="1"/>
    </xf>
    <xf numFmtId="0" fontId="0" fillId="0" borderId="1" xfId="0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FFFF"/>
      <color rgb="FFFF0066"/>
      <color rgb="FFFF6600"/>
      <color rgb="FFFFFFCC"/>
      <color rgb="FFCCE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 IEA (Base)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All!$B$2:$B$28</c:f>
              <c:numCache>
                <c:formatCode>General</c:formatCode>
                <c:ptCount val="27"/>
                <c:pt idx="0">
                  <c:v>16</c:v>
                </c:pt>
                <c:pt idx="1">
                  <c:v>17.829999999999998</c:v>
                </c:pt>
                <c:pt idx="2">
                  <c:v>19.670000000000002</c:v>
                </c:pt>
                <c:pt idx="3">
                  <c:v>21.5</c:v>
                </c:pt>
                <c:pt idx="4">
                  <c:v>23.33</c:v>
                </c:pt>
                <c:pt idx="5">
                  <c:v>25.17</c:v>
                </c:pt>
                <c:pt idx="6">
                  <c:v>27</c:v>
                </c:pt>
                <c:pt idx="7">
                  <c:v>29.7</c:v>
                </c:pt>
                <c:pt idx="8">
                  <c:v>32.4</c:v>
                </c:pt>
                <c:pt idx="9">
                  <c:v>35.1</c:v>
                </c:pt>
                <c:pt idx="10">
                  <c:v>37.799999999999997</c:v>
                </c:pt>
                <c:pt idx="11">
                  <c:v>40.5</c:v>
                </c:pt>
                <c:pt idx="12">
                  <c:v>42.53</c:v>
                </c:pt>
                <c:pt idx="13">
                  <c:v>44.55</c:v>
                </c:pt>
                <c:pt idx="14">
                  <c:v>46.58</c:v>
                </c:pt>
                <c:pt idx="15">
                  <c:v>48.6</c:v>
                </c:pt>
                <c:pt idx="16">
                  <c:v>50.63</c:v>
                </c:pt>
                <c:pt idx="17">
                  <c:v>51.9</c:v>
                </c:pt>
                <c:pt idx="18">
                  <c:v>53.16</c:v>
                </c:pt>
                <c:pt idx="19">
                  <c:v>54.43</c:v>
                </c:pt>
                <c:pt idx="20">
                  <c:v>55.69</c:v>
                </c:pt>
                <c:pt idx="21">
                  <c:v>56.96</c:v>
                </c:pt>
                <c:pt idx="22">
                  <c:v>58.22</c:v>
                </c:pt>
                <c:pt idx="23">
                  <c:v>59.49</c:v>
                </c:pt>
                <c:pt idx="24">
                  <c:v>60.76</c:v>
                </c:pt>
                <c:pt idx="25">
                  <c:v>62.02</c:v>
                </c:pt>
                <c:pt idx="26">
                  <c:v>63.29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0A-47FD-A384-85DCA79CFE5D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 IEA (Lift-Off)</c:v>
                </c:pt>
              </c:strCache>
            </c:strRef>
          </c:tx>
          <c:spPr>
            <a:ln w="19050" cap="rnd">
              <a:solidFill>
                <a:srgbClr val="FF6600"/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All!$C$2:$C$28</c:f>
              <c:numCache>
                <c:formatCode>General</c:formatCode>
                <c:ptCount val="27"/>
                <c:pt idx="0">
                  <c:v>16</c:v>
                </c:pt>
                <c:pt idx="1">
                  <c:v>19.41</c:v>
                </c:pt>
                <c:pt idx="2">
                  <c:v>22.81</c:v>
                </c:pt>
                <c:pt idx="3">
                  <c:v>26.22</c:v>
                </c:pt>
                <c:pt idx="4">
                  <c:v>29.63</c:v>
                </c:pt>
                <c:pt idx="5">
                  <c:v>33.03</c:v>
                </c:pt>
                <c:pt idx="6">
                  <c:v>36.44</c:v>
                </c:pt>
                <c:pt idx="7">
                  <c:v>40.97</c:v>
                </c:pt>
                <c:pt idx="8">
                  <c:v>45.49</c:v>
                </c:pt>
                <c:pt idx="9">
                  <c:v>50.02</c:v>
                </c:pt>
                <c:pt idx="10">
                  <c:v>54.54</c:v>
                </c:pt>
                <c:pt idx="11">
                  <c:v>59.07</c:v>
                </c:pt>
                <c:pt idx="12">
                  <c:v>62.74</c:v>
                </c:pt>
                <c:pt idx="13">
                  <c:v>66.41</c:v>
                </c:pt>
                <c:pt idx="14">
                  <c:v>70.069999999999993</c:v>
                </c:pt>
                <c:pt idx="15">
                  <c:v>73.739999999999995</c:v>
                </c:pt>
                <c:pt idx="16">
                  <c:v>77.41</c:v>
                </c:pt>
                <c:pt idx="17">
                  <c:v>79.81</c:v>
                </c:pt>
                <c:pt idx="18">
                  <c:v>82.22</c:v>
                </c:pt>
                <c:pt idx="19">
                  <c:v>84.62</c:v>
                </c:pt>
                <c:pt idx="20">
                  <c:v>87.02</c:v>
                </c:pt>
                <c:pt idx="21">
                  <c:v>89.43</c:v>
                </c:pt>
                <c:pt idx="22">
                  <c:v>91.83</c:v>
                </c:pt>
                <c:pt idx="23">
                  <c:v>94.23</c:v>
                </c:pt>
                <c:pt idx="24">
                  <c:v>96.64</c:v>
                </c:pt>
                <c:pt idx="25">
                  <c:v>99.04</c:v>
                </c:pt>
                <c:pt idx="26">
                  <c:v>101.44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0A-47FD-A384-85DCA79CFE5D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 IEA (High-Efficiency)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All!$D$2:$D$28</c:f>
              <c:numCache>
                <c:formatCode>General</c:formatCode>
                <c:ptCount val="27"/>
                <c:pt idx="0">
                  <c:v>16</c:v>
                </c:pt>
                <c:pt idx="1">
                  <c:v>17.02</c:v>
                </c:pt>
                <c:pt idx="2">
                  <c:v>18.03</c:v>
                </c:pt>
                <c:pt idx="3">
                  <c:v>19.05</c:v>
                </c:pt>
                <c:pt idx="4">
                  <c:v>20.07</c:v>
                </c:pt>
                <c:pt idx="5">
                  <c:v>21.08</c:v>
                </c:pt>
                <c:pt idx="6">
                  <c:v>22.1</c:v>
                </c:pt>
                <c:pt idx="7">
                  <c:v>24.14</c:v>
                </c:pt>
                <c:pt idx="8">
                  <c:v>26.19</c:v>
                </c:pt>
                <c:pt idx="9">
                  <c:v>28.23</c:v>
                </c:pt>
                <c:pt idx="10">
                  <c:v>30.28</c:v>
                </c:pt>
                <c:pt idx="11">
                  <c:v>32.32</c:v>
                </c:pt>
                <c:pt idx="12">
                  <c:v>33.81</c:v>
                </c:pt>
                <c:pt idx="13">
                  <c:v>35.31</c:v>
                </c:pt>
                <c:pt idx="14">
                  <c:v>36.799999999999997</c:v>
                </c:pt>
                <c:pt idx="15">
                  <c:v>38.299999999999997</c:v>
                </c:pt>
                <c:pt idx="16">
                  <c:v>39.79</c:v>
                </c:pt>
                <c:pt idx="17">
                  <c:v>40.71</c:v>
                </c:pt>
                <c:pt idx="18">
                  <c:v>41.63</c:v>
                </c:pt>
                <c:pt idx="19">
                  <c:v>42.55</c:v>
                </c:pt>
                <c:pt idx="20">
                  <c:v>43.47</c:v>
                </c:pt>
                <c:pt idx="21">
                  <c:v>44.39</c:v>
                </c:pt>
                <c:pt idx="22">
                  <c:v>45.31</c:v>
                </c:pt>
                <c:pt idx="23">
                  <c:v>46.23</c:v>
                </c:pt>
                <c:pt idx="24">
                  <c:v>47.15</c:v>
                </c:pt>
                <c:pt idx="25">
                  <c:v>48.07</c:v>
                </c:pt>
                <c:pt idx="26">
                  <c:v>48.99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0A-47FD-A384-85DCA79CFE5D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 IEA (Headwinds)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All!$E$2:$E$28</c:f>
              <c:numCache>
                <c:formatCode>General</c:formatCode>
                <c:ptCount val="27"/>
                <c:pt idx="0">
                  <c:v>16</c:v>
                </c:pt>
                <c:pt idx="1">
                  <c:v>16.48</c:v>
                </c:pt>
                <c:pt idx="2">
                  <c:v>16.97</c:v>
                </c:pt>
                <c:pt idx="3">
                  <c:v>17.45</c:v>
                </c:pt>
                <c:pt idx="4">
                  <c:v>17.93</c:v>
                </c:pt>
                <c:pt idx="5">
                  <c:v>18.420000000000002</c:v>
                </c:pt>
                <c:pt idx="6">
                  <c:v>18.899999999999999</c:v>
                </c:pt>
                <c:pt idx="7">
                  <c:v>19.8</c:v>
                </c:pt>
                <c:pt idx="8">
                  <c:v>20.7</c:v>
                </c:pt>
                <c:pt idx="9">
                  <c:v>21.61</c:v>
                </c:pt>
                <c:pt idx="10">
                  <c:v>22.51</c:v>
                </c:pt>
                <c:pt idx="11">
                  <c:v>23.41</c:v>
                </c:pt>
                <c:pt idx="12">
                  <c:v>23.97</c:v>
                </c:pt>
                <c:pt idx="13">
                  <c:v>24.53</c:v>
                </c:pt>
                <c:pt idx="14">
                  <c:v>25.09</c:v>
                </c:pt>
                <c:pt idx="15">
                  <c:v>25.64</c:v>
                </c:pt>
                <c:pt idx="16">
                  <c:v>26.2</c:v>
                </c:pt>
                <c:pt idx="17">
                  <c:v>26.51</c:v>
                </c:pt>
                <c:pt idx="18">
                  <c:v>26.83</c:v>
                </c:pt>
                <c:pt idx="19">
                  <c:v>27.14</c:v>
                </c:pt>
                <c:pt idx="20">
                  <c:v>27.45</c:v>
                </c:pt>
                <c:pt idx="21">
                  <c:v>27.76</c:v>
                </c:pt>
                <c:pt idx="22">
                  <c:v>28.08</c:v>
                </c:pt>
                <c:pt idx="23">
                  <c:v>28.39</c:v>
                </c:pt>
                <c:pt idx="24">
                  <c:v>28.7</c:v>
                </c:pt>
                <c:pt idx="25">
                  <c:v>29.01</c:v>
                </c:pt>
                <c:pt idx="26">
                  <c:v>29.33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0A-47FD-A384-85DCA79CFE5D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IEA (Pessimistic - Deflation)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All!$F$2:$F$28</c:f>
              <c:numCache>
                <c:formatCode>General</c:formatCode>
                <c:ptCount val="27"/>
                <c:pt idx="0">
                  <c:v>16</c:v>
                </c:pt>
                <c:pt idx="1">
                  <c:v>17.829999999999998</c:v>
                </c:pt>
                <c:pt idx="2">
                  <c:v>19.670000000000002</c:v>
                </c:pt>
                <c:pt idx="3">
                  <c:v>21.5</c:v>
                </c:pt>
                <c:pt idx="4">
                  <c:v>23.33</c:v>
                </c:pt>
                <c:pt idx="5">
                  <c:v>25.17</c:v>
                </c:pt>
                <c:pt idx="6">
                  <c:v>27</c:v>
                </c:pt>
                <c:pt idx="7">
                  <c:v>28.35</c:v>
                </c:pt>
                <c:pt idx="8">
                  <c:v>29.7</c:v>
                </c:pt>
                <c:pt idx="9">
                  <c:v>31.05</c:v>
                </c:pt>
                <c:pt idx="10">
                  <c:v>32.4</c:v>
                </c:pt>
                <c:pt idx="11">
                  <c:v>33.75</c:v>
                </c:pt>
                <c:pt idx="12">
                  <c:v>32.06</c:v>
                </c:pt>
                <c:pt idx="13">
                  <c:v>30.38</c:v>
                </c:pt>
                <c:pt idx="14">
                  <c:v>28.69</c:v>
                </c:pt>
                <c:pt idx="15">
                  <c:v>27</c:v>
                </c:pt>
                <c:pt idx="16">
                  <c:v>25.31</c:v>
                </c:pt>
                <c:pt idx="17">
                  <c:v>23.63</c:v>
                </c:pt>
                <c:pt idx="18">
                  <c:v>21.94</c:v>
                </c:pt>
                <c:pt idx="19">
                  <c:v>20.25</c:v>
                </c:pt>
                <c:pt idx="20">
                  <c:v>18.559999999999999</c:v>
                </c:pt>
                <c:pt idx="21">
                  <c:v>16.88</c:v>
                </c:pt>
                <c:pt idx="22">
                  <c:v>17.3</c:v>
                </c:pt>
                <c:pt idx="23">
                  <c:v>17.72</c:v>
                </c:pt>
                <c:pt idx="24">
                  <c:v>18.149999999999999</c:v>
                </c:pt>
                <c:pt idx="25">
                  <c:v>18.57</c:v>
                </c:pt>
                <c:pt idx="26">
                  <c:v>18.989999999999998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80A-47FD-A384-85DCA79CFE5D}"/>
            </c:ext>
          </c:extLst>
        </c:ser>
        <c:ser>
          <c:idx val="5"/>
          <c:order val="5"/>
          <c:tx>
            <c:strRef>
              <c:f>All!$G$1</c:f>
              <c:strCache>
                <c:ptCount val="1"/>
                <c:pt idx="0">
                  <c:v>IEA (Pessimistic - Med)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All!$G$2:$G$28</c:f>
              <c:numCache>
                <c:formatCode>General</c:formatCode>
                <c:ptCount val="27"/>
                <c:pt idx="0">
                  <c:v>16</c:v>
                </c:pt>
                <c:pt idx="1">
                  <c:v>17.829999999999998</c:v>
                </c:pt>
                <c:pt idx="2">
                  <c:v>19.670000000000002</c:v>
                </c:pt>
                <c:pt idx="3">
                  <c:v>21.5</c:v>
                </c:pt>
                <c:pt idx="4">
                  <c:v>23.33</c:v>
                </c:pt>
                <c:pt idx="5">
                  <c:v>25.17</c:v>
                </c:pt>
                <c:pt idx="6">
                  <c:v>27</c:v>
                </c:pt>
                <c:pt idx="7">
                  <c:v>29.7</c:v>
                </c:pt>
                <c:pt idx="8">
                  <c:v>32.4</c:v>
                </c:pt>
                <c:pt idx="9">
                  <c:v>35.1</c:v>
                </c:pt>
                <c:pt idx="10">
                  <c:v>37.799999999999997</c:v>
                </c:pt>
                <c:pt idx="11">
                  <c:v>40.5</c:v>
                </c:pt>
                <c:pt idx="12">
                  <c:v>38.479999999999997</c:v>
                </c:pt>
                <c:pt idx="13">
                  <c:v>36.450000000000003</c:v>
                </c:pt>
                <c:pt idx="14">
                  <c:v>34.43</c:v>
                </c:pt>
                <c:pt idx="15">
                  <c:v>32.4</c:v>
                </c:pt>
                <c:pt idx="16">
                  <c:v>30.38</c:v>
                </c:pt>
                <c:pt idx="17">
                  <c:v>31.14</c:v>
                </c:pt>
                <c:pt idx="18">
                  <c:v>31.9</c:v>
                </c:pt>
                <c:pt idx="19">
                  <c:v>32.659999999999997</c:v>
                </c:pt>
                <c:pt idx="20">
                  <c:v>33.42</c:v>
                </c:pt>
                <c:pt idx="21">
                  <c:v>34.18</c:v>
                </c:pt>
                <c:pt idx="22">
                  <c:v>34.94</c:v>
                </c:pt>
                <c:pt idx="23">
                  <c:v>35.700000000000003</c:v>
                </c:pt>
                <c:pt idx="24">
                  <c:v>36.46</c:v>
                </c:pt>
                <c:pt idx="25">
                  <c:v>37.22</c:v>
                </c:pt>
                <c:pt idx="26">
                  <c:v>37.979999999999997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0A-47FD-A384-85DCA79CFE5D}"/>
            </c:ext>
          </c:extLst>
        </c:ser>
        <c:ser>
          <c:idx val="6"/>
          <c:order val="6"/>
          <c:tx>
            <c:strRef>
              <c:f>All!$H$1</c:f>
              <c:strCache>
                <c:ptCount val="1"/>
                <c:pt idx="0">
                  <c:v>IEA (Pessimistic -End)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All!$H$2:$H$28</c:f>
              <c:numCache>
                <c:formatCode>General</c:formatCode>
                <c:ptCount val="27"/>
                <c:pt idx="0">
                  <c:v>16</c:v>
                </c:pt>
                <c:pt idx="1">
                  <c:v>17.829999999999998</c:v>
                </c:pt>
                <c:pt idx="2">
                  <c:v>19.670000000000002</c:v>
                </c:pt>
                <c:pt idx="3">
                  <c:v>21.5</c:v>
                </c:pt>
                <c:pt idx="4">
                  <c:v>23.33</c:v>
                </c:pt>
                <c:pt idx="5">
                  <c:v>25.17</c:v>
                </c:pt>
                <c:pt idx="6">
                  <c:v>27</c:v>
                </c:pt>
                <c:pt idx="7">
                  <c:v>29.7</c:v>
                </c:pt>
                <c:pt idx="8">
                  <c:v>32.4</c:v>
                </c:pt>
                <c:pt idx="9">
                  <c:v>35.1</c:v>
                </c:pt>
                <c:pt idx="10">
                  <c:v>37.799999999999997</c:v>
                </c:pt>
                <c:pt idx="11">
                  <c:v>40.5</c:v>
                </c:pt>
                <c:pt idx="12">
                  <c:v>42.53</c:v>
                </c:pt>
                <c:pt idx="13">
                  <c:v>44.55</c:v>
                </c:pt>
                <c:pt idx="14">
                  <c:v>46.58</c:v>
                </c:pt>
                <c:pt idx="15">
                  <c:v>48.6</c:v>
                </c:pt>
                <c:pt idx="16">
                  <c:v>50.63</c:v>
                </c:pt>
                <c:pt idx="17">
                  <c:v>49.36</c:v>
                </c:pt>
                <c:pt idx="18">
                  <c:v>48.1</c:v>
                </c:pt>
                <c:pt idx="19">
                  <c:v>46.83</c:v>
                </c:pt>
                <c:pt idx="20">
                  <c:v>45.57</c:v>
                </c:pt>
                <c:pt idx="21">
                  <c:v>44.3</c:v>
                </c:pt>
                <c:pt idx="22">
                  <c:v>44.85</c:v>
                </c:pt>
                <c:pt idx="23">
                  <c:v>45.41</c:v>
                </c:pt>
                <c:pt idx="24">
                  <c:v>45.96</c:v>
                </c:pt>
                <c:pt idx="25">
                  <c:v>46.52</c:v>
                </c:pt>
                <c:pt idx="26">
                  <c:v>47.07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80A-47FD-A384-85DCA79CFE5D}"/>
            </c:ext>
          </c:extLst>
        </c:ser>
        <c:ser>
          <c:idx val="7"/>
          <c:order val="7"/>
          <c:tx>
            <c:strRef>
              <c:f>All!$I$1</c:f>
              <c:strCache>
                <c:ptCount val="1"/>
                <c:pt idx="0">
                  <c:v> ICIS (Base)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All!$I$2:$I$28</c:f>
              <c:numCache>
                <c:formatCode>General</c:formatCode>
                <c:ptCount val="27"/>
                <c:pt idx="0">
                  <c:v>16</c:v>
                </c:pt>
                <c:pt idx="1">
                  <c:v>18.399999999999999</c:v>
                </c:pt>
                <c:pt idx="2">
                  <c:v>20.8</c:v>
                </c:pt>
                <c:pt idx="3">
                  <c:v>23.2</c:v>
                </c:pt>
                <c:pt idx="4">
                  <c:v>25.6</c:v>
                </c:pt>
                <c:pt idx="5">
                  <c:v>28</c:v>
                </c:pt>
                <c:pt idx="6">
                  <c:v>30.4</c:v>
                </c:pt>
                <c:pt idx="7">
                  <c:v>33.44</c:v>
                </c:pt>
                <c:pt idx="8">
                  <c:v>36.479999999999997</c:v>
                </c:pt>
                <c:pt idx="9">
                  <c:v>39.520000000000003</c:v>
                </c:pt>
                <c:pt idx="10">
                  <c:v>42.56</c:v>
                </c:pt>
                <c:pt idx="11">
                  <c:v>45.6</c:v>
                </c:pt>
                <c:pt idx="12">
                  <c:v>47.88</c:v>
                </c:pt>
                <c:pt idx="13">
                  <c:v>50.16</c:v>
                </c:pt>
                <c:pt idx="14">
                  <c:v>52.44</c:v>
                </c:pt>
                <c:pt idx="15">
                  <c:v>54.72</c:v>
                </c:pt>
                <c:pt idx="16">
                  <c:v>57</c:v>
                </c:pt>
                <c:pt idx="17">
                  <c:v>58.43</c:v>
                </c:pt>
                <c:pt idx="18">
                  <c:v>59.85</c:v>
                </c:pt>
                <c:pt idx="19">
                  <c:v>61.28</c:v>
                </c:pt>
                <c:pt idx="20">
                  <c:v>62.7</c:v>
                </c:pt>
                <c:pt idx="21">
                  <c:v>64.13</c:v>
                </c:pt>
                <c:pt idx="22">
                  <c:v>65.55</c:v>
                </c:pt>
                <c:pt idx="23">
                  <c:v>66.98</c:v>
                </c:pt>
                <c:pt idx="24">
                  <c:v>68.400000000000006</c:v>
                </c:pt>
                <c:pt idx="25">
                  <c:v>69.83</c:v>
                </c:pt>
                <c:pt idx="26">
                  <c:v>71.25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0A-47FD-A384-85DCA79CFE5D}"/>
            </c:ext>
          </c:extLst>
        </c:ser>
        <c:ser>
          <c:idx val="8"/>
          <c:order val="8"/>
          <c:tx>
            <c:strRef>
              <c:f>All!$J$1</c:f>
              <c:strCache>
                <c:ptCount val="1"/>
                <c:pt idx="0">
                  <c:v> ICIS (Lift-Off)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All!$J$2:$J$28</c:f>
              <c:numCache>
                <c:formatCode>General</c:formatCode>
                <c:ptCount val="27"/>
                <c:pt idx="0">
                  <c:v>16</c:v>
                </c:pt>
                <c:pt idx="1">
                  <c:v>20.170000000000002</c:v>
                </c:pt>
                <c:pt idx="2">
                  <c:v>24.35</c:v>
                </c:pt>
                <c:pt idx="3">
                  <c:v>28.52</c:v>
                </c:pt>
                <c:pt idx="4">
                  <c:v>32.69</c:v>
                </c:pt>
                <c:pt idx="5">
                  <c:v>36.869999999999997</c:v>
                </c:pt>
                <c:pt idx="6">
                  <c:v>41.04</c:v>
                </c:pt>
                <c:pt idx="7">
                  <c:v>46.13</c:v>
                </c:pt>
                <c:pt idx="8">
                  <c:v>51.22</c:v>
                </c:pt>
                <c:pt idx="9">
                  <c:v>56.31</c:v>
                </c:pt>
                <c:pt idx="10">
                  <c:v>61.4</c:v>
                </c:pt>
                <c:pt idx="11">
                  <c:v>66.48</c:v>
                </c:pt>
                <c:pt idx="12">
                  <c:v>70.599999999999994</c:v>
                </c:pt>
                <c:pt idx="13">
                  <c:v>74.72</c:v>
                </c:pt>
                <c:pt idx="14">
                  <c:v>78.849999999999994</c:v>
                </c:pt>
                <c:pt idx="15">
                  <c:v>82.97</c:v>
                </c:pt>
                <c:pt idx="16">
                  <c:v>87.09</c:v>
                </c:pt>
                <c:pt idx="17">
                  <c:v>89.79</c:v>
                </c:pt>
                <c:pt idx="18">
                  <c:v>92.49</c:v>
                </c:pt>
                <c:pt idx="19">
                  <c:v>95.19</c:v>
                </c:pt>
                <c:pt idx="20">
                  <c:v>97.89</c:v>
                </c:pt>
                <c:pt idx="21">
                  <c:v>100.59</c:v>
                </c:pt>
                <c:pt idx="22">
                  <c:v>103.29</c:v>
                </c:pt>
                <c:pt idx="23">
                  <c:v>105.99</c:v>
                </c:pt>
                <c:pt idx="24">
                  <c:v>108.69</c:v>
                </c:pt>
                <c:pt idx="25">
                  <c:v>111.39</c:v>
                </c:pt>
                <c:pt idx="26">
                  <c:v>114.09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80A-47FD-A384-85DCA79CFE5D}"/>
            </c:ext>
          </c:extLst>
        </c:ser>
        <c:ser>
          <c:idx val="9"/>
          <c:order val="9"/>
          <c:tx>
            <c:strRef>
              <c:f>All!$K$1</c:f>
              <c:strCache>
                <c:ptCount val="1"/>
                <c:pt idx="0">
                  <c:v> ICIS (High-Efficiency)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All!$K$2:$K$28</c:f>
              <c:numCache>
                <c:formatCode>General</c:formatCode>
                <c:ptCount val="27"/>
                <c:pt idx="0">
                  <c:v>16</c:v>
                </c:pt>
                <c:pt idx="1">
                  <c:v>17.48</c:v>
                </c:pt>
                <c:pt idx="2">
                  <c:v>18.96</c:v>
                </c:pt>
                <c:pt idx="3">
                  <c:v>20.440000000000001</c:v>
                </c:pt>
                <c:pt idx="4">
                  <c:v>21.92</c:v>
                </c:pt>
                <c:pt idx="5">
                  <c:v>23.4</c:v>
                </c:pt>
                <c:pt idx="6">
                  <c:v>24.88</c:v>
                </c:pt>
                <c:pt idx="7">
                  <c:v>27.18</c:v>
                </c:pt>
                <c:pt idx="8">
                  <c:v>29.48</c:v>
                </c:pt>
                <c:pt idx="9">
                  <c:v>31.79</c:v>
                </c:pt>
                <c:pt idx="10">
                  <c:v>34.090000000000003</c:v>
                </c:pt>
                <c:pt idx="11">
                  <c:v>36.39</c:v>
                </c:pt>
                <c:pt idx="12">
                  <c:v>38.07</c:v>
                </c:pt>
                <c:pt idx="13">
                  <c:v>39.76</c:v>
                </c:pt>
                <c:pt idx="14">
                  <c:v>41.44</c:v>
                </c:pt>
                <c:pt idx="15">
                  <c:v>43.12</c:v>
                </c:pt>
                <c:pt idx="16">
                  <c:v>44.81</c:v>
                </c:pt>
                <c:pt idx="17">
                  <c:v>45.85</c:v>
                </c:pt>
                <c:pt idx="18">
                  <c:v>46.88</c:v>
                </c:pt>
                <c:pt idx="19">
                  <c:v>47.92</c:v>
                </c:pt>
                <c:pt idx="20">
                  <c:v>48.96</c:v>
                </c:pt>
                <c:pt idx="21">
                  <c:v>49.99</c:v>
                </c:pt>
                <c:pt idx="22">
                  <c:v>51.03</c:v>
                </c:pt>
                <c:pt idx="23">
                  <c:v>52.07</c:v>
                </c:pt>
                <c:pt idx="24">
                  <c:v>53.1</c:v>
                </c:pt>
                <c:pt idx="25">
                  <c:v>54.14</c:v>
                </c:pt>
                <c:pt idx="26">
                  <c:v>55.18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80A-47FD-A384-85DCA79CFE5D}"/>
            </c:ext>
          </c:extLst>
        </c:ser>
        <c:ser>
          <c:idx val="10"/>
          <c:order val="10"/>
          <c:tx>
            <c:strRef>
              <c:f>All!$L$1</c:f>
              <c:strCache>
                <c:ptCount val="1"/>
                <c:pt idx="0">
                  <c:v> ICIS (Headwinds)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All!$L$2:$L$28</c:f>
              <c:numCache>
                <c:formatCode>General</c:formatCode>
                <c:ptCount val="27"/>
                <c:pt idx="0">
                  <c:v>16</c:v>
                </c:pt>
                <c:pt idx="1">
                  <c:v>16.88</c:v>
                </c:pt>
                <c:pt idx="2">
                  <c:v>17.760000000000002</c:v>
                </c:pt>
                <c:pt idx="3">
                  <c:v>18.64</c:v>
                </c:pt>
                <c:pt idx="4">
                  <c:v>19.52</c:v>
                </c:pt>
                <c:pt idx="5">
                  <c:v>20.399999999999999</c:v>
                </c:pt>
                <c:pt idx="6">
                  <c:v>21.28</c:v>
                </c:pt>
                <c:pt idx="7">
                  <c:v>22.3</c:v>
                </c:pt>
                <c:pt idx="8">
                  <c:v>23.31</c:v>
                </c:pt>
                <c:pt idx="9">
                  <c:v>24.33</c:v>
                </c:pt>
                <c:pt idx="10">
                  <c:v>25.34</c:v>
                </c:pt>
                <c:pt idx="11">
                  <c:v>26.36</c:v>
                </c:pt>
                <c:pt idx="12">
                  <c:v>26.99</c:v>
                </c:pt>
                <c:pt idx="13">
                  <c:v>27.62</c:v>
                </c:pt>
                <c:pt idx="14">
                  <c:v>28.25</c:v>
                </c:pt>
                <c:pt idx="15">
                  <c:v>28.88</c:v>
                </c:pt>
                <c:pt idx="16">
                  <c:v>29.5</c:v>
                </c:pt>
                <c:pt idx="17">
                  <c:v>29.85</c:v>
                </c:pt>
                <c:pt idx="18">
                  <c:v>30.2</c:v>
                </c:pt>
                <c:pt idx="19">
                  <c:v>30.56</c:v>
                </c:pt>
                <c:pt idx="20">
                  <c:v>30.91</c:v>
                </c:pt>
                <c:pt idx="21">
                  <c:v>31.26</c:v>
                </c:pt>
                <c:pt idx="22">
                  <c:v>31.61</c:v>
                </c:pt>
                <c:pt idx="23">
                  <c:v>31.96</c:v>
                </c:pt>
                <c:pt idx="24">
                  <c:v>32.32</c:v>
                </c:pt>
                <c:pt idx="25">
                  <c:v>32.67</c:v>
                </c:pt>
                <c:pt idx="26">
                  <c:v>33.020000000000003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80A-47FD-A384-85DCA79CFE5D}"/>
            </c:ext>
          </c:extLst>
        </c:ser>
        <c:ser>
          <c:idx val="11"/>
          <c:order val="11"/>
          <c:tx>
            <c:strRef>
              <c:f>All!$M$1</c:f>
              <c:strCache>
                <c:ptCount val="1"/>
                <c:pt idx="0">
                  <c:v>ICIS (Pessimistic- Deflation)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All!$M$2:$M$28</c:f>
              <c:numCache>
                <c:formatCode>General</c:formatCode>
                <c:ptCount val="27"/>
                <c:pt idx="0">
                  <c:v>16</c:v>
                </c:pt>
                <c:pt idx="1">
                  <c:v>18.399999999999999</c:v>
                </c:pt>
                <c:pt idx="2">
                  <c:v>20.8</c:v>
                </c:pt>
                <c:pt idx="3">
                  <c:v>23.2</c:v>
                </c:pt>
                <c:pt idx="4">
                  <c:v>25.6</c:v>
                </c:pt>
                <c:pt idx="5">
                  <c:v>28</c:v>
                </c:pt>
                <c:pt idx="6">
                  <c:v>30.4</c:v>
                </c:pt>
                <c:pt idx="7">
                  <c:v>31.92</c:v>
                </c:pt>
                <c:pt idx="8">
                  <c:v>33.44</c:v>
                </c:pt>
                <c:pt idx="9">
                  <c:v>34.96</c:v>
                </c:pt>
                <c:pt idx="10">
                  <c:v>36.479999999999997</c:v>
                </c:pt>
                <c:pt idx="11">
                  <c:v>38</c:v>
                </c:pt>
                <c:pt idx="12">
                  <c:v>36.1</c:v>
                </c:pt>
                <c:pt idx="13">
                  <c:v>34.200000000000003</c:v>
                </c:pt>
                <c:pt idx="14">
                  <c:v>32.299999999999997</c:v>
                </c:pt>
                <c:pt idx="15">
                  <c:v>30.4</c:v>
                </c:pt>
                <c:pt idx="16">
                  <c:v>28.5</c:v>
                </c:pt>
                <c:pt idx="17">
                  <c:v>26.6</c:v>
                </c:pt>
                <c:pt idx="18">
                  <c:v>24.7</c:v>
                </c:pt>
                <c:pt idx="19">
                  <c:v>22.8</c:v>
                </c:pt>
                <c:pt idx="20">
                  <c:v>20.9</c:v>
                </c:pt>
                <c:pt idx="21">
                  <c:v>19</c:v>
                </c:pt>
                <c:pt idx="22">
                  <c:v>19.48</c:v>
                </c:pt>
                <c:pt idx="23">
                  <c:v>19.95</c:v>
                </c:pt>
                <c:pt idx="24">
                  <c:v>20.43</c:v>
                </c:pt>
                <c:pt idx="25">
                  <c:v>20.9</c:v>
                </c:pt>
                <c:pt idx="26">
                  <c:v>21.38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80A-47FD-A384-85DCA79CFE5D}"/>
            </c:ext>
          </c:extLst>
        </c:ser>
        <c:ser>
          <c:idx val="12"/>
          <c:order val="12"/>
          <c:tx>
            <c:strRef>
              <c:f>All!$N$1</c:f>
              <c:strCache>
                <c:ptCount val="1"/>
                <c:pt idx="0">
                  <c:v>ICIS (Pessimistic- Med)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All!$N$2:$N$28</c:f>
              <c:numCache>
                <c:formatCode>General</c:formatCode>
                <c:ptCount val="27"/>
                <c:pt idx="0">
                  <c:v>16</c:v>
                </c:pt>
                <c:pt idx="1">
                  <c:v>18.399999999999999</c:v>
                </c:pt>
                <c:pt idx="2">
                  <c:v>20.8</c:v>
                </c:pt>
                <c:pt idx="3">
                  <c:v>23.2</c:v>
                </c:pt>
                <c:pt idx="4">
                  <c:v>25.6</c:v>
                </c:pt>
                <c:pt idx="5">
                  <c:v>28</c:v>
                </c:pt>
                <c:pt idx="6">
                  <c:v>30.4</c:v>
                </c:pt>
                <c:pt idx="7">
                  <c:v>33.44</c:v>
                </c:pt>
                <c:pt idx="8">
                  <c:v>36.479999999999997</c:v>
                </c:pt>
                <c:pt idx="9">
                  <c:v>39.520000000000003</c:v>
                </c:pt>
                <c:pt idx="10">
                  <c:v>42.56</c:v>
                </c:pt>
                <c:pt idx="11">
                  <c:v>45.6</c:v>
                </c:pt>
                <c:pt idx="12">
                  <c:v>43.32</c:v>
                </c:pt>
                <c:pt idx="13">
                  <c:v>41.04</c:v>
                </c:pt>
                <c:pt idx="14">
                  <c:v>38.76</c:v>
                </c:pt>
                <c:pt idx="15">
                  <c:v>36.479999999999997</c:v>
                </c:pt>
                <c:pt idx="16">
                  <c:v>34.200000000000003</c:v>
                </c:pt>
                <c:pt idx="17">
                  <c:v>35.06</c:v>
                </c:pt>
                <c:pt idx="18">
                  <c:v>35.909999999999997</c:v>
                </c:pt>
                <c:pt idx="19">
                  <c:v>36.770000000000003</c:v>
                </c:pt>
                <c:pt idx="20">
                  <c:v>37.619999999999997</c:v>
                </c:pt>
                <c:pt idx="21">
                  <c:v>38.479999999999997</c:v>
                </c:pt>
                <c:pt idx="22">
                  <c:v>39.33</c:v>
                </c:pt>
                <c:pt idx="23">
                  <c:v>40.19</c:v>
                </c:pt>
                <c:pt idx="24">
                  <c:v>41.04</c:v>
                </c:pt>
                <c:pt idx="25">
                  <c:v>41.9</c:v>
                </c:pt>
                <c:pt idx="26">
                  <c:v>42.75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80A-47FD-A384-85DCA79CFE5D}"/>
            </c:ext>
          </c:extLst>
        </c:ser>
        <c:ser>
          <c:idx val="13"/>
          <c:order val="13"/>
          <c:tx>
            <c:strRef>
              <c:f>All!$O$1</c:f>
              <c:strCache>
                <c:ptCount val="1"/>
                <c:pt idx="0">
                  <c:v>ICIS (Pessimistic- End)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All!$O$2:$O$28</c:f>
              <c:numCache>
                <c:formatCode>General</c:formatCode>
                <c:ptCount val="27"/>
                <c:pt idx="0">
                  <c:v>16</c:v>
                </c:pt>
                <c:pt idx="1">
                  <c:v>18.399999999999999</c:v>
                </c:pt>
                <c:pt idx="2">
                  <c:v>20.8</c:v>
                </c:pt>
                <c:pt idx="3">
                  <c:v>23.2</c:v>
                </c:pt>
                <c:pt idx="4">
                  <c:v>25.6</c:v>
                </c:pt>
                <c:pt idx="5">
                  <c:v>28</c:v>
                </c:pt>
                <c:pt idx="6">
                  <c:v>30.4</c:v>
                </c:pt>
                <c:pt idx="7">
                  <c:v>33.44</c:v>
                </c:pt>
                <c:pt idx="8">
                  <c:v>36.479999999999997</c:v>
                </c:pt>
                <c:pt idx="9">
                  <c:v>39.520000000000003</c:v>
                </c:pt>
                <c:pt idx="10">
                  <c:v>42.56</c:v>
                </c:pt>
                <c:pt idx="11">
                  <c:v>45.6</c:v>
                </c:pt>
                <c:pt idx="12">
                  <c:v>47.88</c:v>
                </c:pt>
                <c:pt idx="13">
                  <c:v>50.16</c:v>
                </c:pt>
                <c:pt idx="14">
                  <c:v>52.44</c:v>
                </c:pt>
                <c:pt idx="15">
                  <c:v>54.72</c:v>
                </c:pt>
                <c:pt idx="16">
                  <c:v>57</c:v>
                </c:pt>
                <c:pt idx="17">
                  <c:v>55.58</c:v>
                </c:pt>
                <c:pt idx="18">
                  <c:v>54.15</c:v>
                </c:pt>
                <c:pt idx="19">
                  <c:v>52.73</c:v>
                </c:pt>
                <c:pt idx="20">
                  <c:v>51.3</c:v>
                </c:pt>
                <c:pt idx="21">
                  <c:v>49.88</c:v>
                </c:pt>
                <c:pt idx="22">
                  <c:v>50.5</c:v>
                </c:pt>
                <c:pt idx="23">
                  <c:v>51.13</c:v>
                </c:pt>
                <c:pt idx="24">
                  <c:v>51.75</c:v>
                </c:pt>
                <c:pt idx="25">
                  <c:v>52.37</c:v>
                </c:pt>
                <c:pt idx="26">
                  <c:v>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80A-47FD-A384-85DCA79CFE5D}"/>
            </c:ext>
          </c:extLst>
        </c:ser>
        <c:ser>
          <c:idx val="14"/>
          <c:order val="14"/>
          <c:tx>
            <c:strRef>
              <c:f>All!$P$1</c:f>
              <c:strCache>
                <c:ptCount val="1"/>
                <c:pt idx="0">
                  <c:v>McKinsey (Base)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All!$P$2:$P$28</c:f>
              <c:numCache>
                <c:formatCode>General</c:formatCode>
                <c:ptCount val="27"/>
                <c:pt idx="0">
                  <c:v>16</c:v>
                </c:pt>
                <c:pt idx="1">
                  <c:v>19.2</c:v>
                </c:pt>
                <c:pt idx="2">
                  <c:v>22.4</c:v>
                </c:pt>
                <c:pt idx="3">
                  <c:v>25.6</c:v>
                </c:pt>
                <c:pt idx="4">
                  <c:v>28.8</c:v>
                </c:pt>
                <c:pt idx="5">
                  <c:v>32</c:v>
                </c:pt>
                <c:pt idx="6">
                  <c:v>35.200000000000003</c:v>
                </c:pt>
                <c:pt idx="7">
                  <c:v>40.479999999999997</c:v>
                </c:pt>
                <c:pt idx="8">
                  <c:v>45.76</c:v>
                </c:pt>
                <c:pt idx="9">
                  <c:v>51.04</c:v>
                </c:pt>
                <c:pt idx="10">
                  <c:v>56.32</c:v>
                </c:pt>
                <c:pt idx="11">
                  <c:v>61.6</c:v>
                </c:pt>
                <c:pt idx="12">
                  <c:v>66.22</c:v>
                </c:pt>
                <c:pt idx="13">
                  <c:v>70.84</c:v>
                </c:pt>
                <c:pt idx="14">
                  <c:v>75.459999999999994</c:v>
                </c:pt>
                <c:pt idx="15">
                  <c:v>80.08</c:v>
                </c:pt>
                <c:pt idx="16">
                  <c:v>84.7</c:v>
                </c:pt>
                <c:pt idx="17">
                  <c:v>87.88</c:v>
                </c:pt>
                <c:pt idx="18">
                  <c:v>91.05</c:v>
                </c:pt>
                <c:pt idx="19">
                  <c:v>94.23</c:v>
                </c:pt>
                <c:pt idx="20">
                  <c:v>97.41</c:v>
                </c:pt>
                <c:pt idx="21">
                  <c:v>100.58</c:v>
                </c:pt>
                <c:pt idx="22">
                  <c:v>103.76</c:v>
                </c:pt>
                <c:pt idx="23">
                  <c:v>106.93</c:v>
                </c:pt>
                <c:pt idx="24">
                  <c:v>110.11</c:v>
                </c:pt>
                <c:pt idx="25">
                  <c:v>113.29</c:v>
                </c:pt>
                <c:pt idx="26">
                  <c:v>116.46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80A-47FD-A384-85DCA79CFE5D}"/>
            </c:ext>
          </c:extLst>
        </c:ser>
        <c:ser>
          <c:idx val="15"/>
          <c:order val="15"/>
          <c:tx>
            <c:strRef>
              <c:f>All!$Q$1</c:f>
              <c:strCache>
                <c:ptCount val="1"/>
                <c:pt idx="0">
                  <c:v>McKinsey (Lift-Off)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All!$Q$2:$Q$28</c:f>
              <c:numCache>
                <c:formatCode>General</c:formatCode>
                <c:ptCount val="27"/>
                <c:pt idx="0">
                  <c:v>16</c:v>
                </c:pt>
                <c:pt idx="1">
                  <c:v>21.25</c:v>
                </c:pt>
                <c:pt idx="2">
                  <c:v>26.51</c:v>
                </c:pt>
                <c:pt idx="3">
                  <c:v>31.76</c:v>
                </c:pt>
                <c:pt idx="4">
                  <c:v>37.01</c:v>
                </c:pt>
                <c:pt idx="5">
                  <c:v>42.27</c:v>
                </c:pt>
                <c:pt idx="6">
                  <c:v>47.52</c:v>
                </c:pt>
                <c:pt idx="7">
                  <c:v>55.98</c:v>
                </c:pt>
                <c:pt idx="8">
                  <c:v>64.44</c:v>
                </c:pt>
                <c:pt idx="9">
                  <c:v>72.900000000000006</c:v>
                </c:pt>
                <c:pt idx="10">
                  <c:v>81.349999999999994</c:v>
                </c:pt>
                <c:pt idx="11">
                  <c:v>89.81</c:v>
                </c:pt>
                <c:pt idx="12">
                  <c:v>97.8</c:v>
                </c:pt>
                <c:pt idx="13">
                  <c:v>105.8</c:v>
                </c:pt>
                <c:pt idx="14">
                  <c:v>113.79</c:v>
                </c:pt>
                <c:pt idx="15">
                  <c:v>121.78</c:v>
                </c:pt>
                <c:pt idx="16">
                  <c:v>129.78</c:v>
                </c:pt>
                <c:pt idx="17">
                  <c:v>135.56</c:v>
                </c:pt>
                <c:pt idx="18">
                  <c:v>141.33000000000001</c:v>
                </c:pt>
                <c:pt idx="19">
                  <c:v>147.11000000000001</c:v>
                </c:pt>
                <c:pt idx="20">
                  <c:v>152.88</c:v>
                </c:pt>
                <c:pt idx="21">
                  <c:v>158.66</c:v>
                </c:pt>
                <c:pt idx="22">
                  <c:v>164.43</c:v>
                </c:pt>
                <c:pt idx="23">
                  <c:v>170.21</c:v>
                </c:pt>
                <c:pt idx="24">
                  <c:v>175.98</c:v>
                </c:pt>
                <c:pt idx="25">
                  <c:v>181.76</c:v>
                </c:pt>
                <c:pt idx="26">
                  <c:v>187.53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80A-47FD-A384-85DCA79CFE5D}"/>
            </c:ext>
          </c:extLst>
        </c:ser>
        <c:ser>
          <c:idx val="16"/>
          <c:order val="16"/>
          <c:tx>
            <c:strRef>
              <c:f>All!$R$1</c:f>
              <c:strCache>
                <c:ptCount val="1"/>
                <c:pt idx="0">
                  <c:v>McKinsey (High-Efficiency)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All!$R$2:$R$28</c:f>
              <c:numCache>
                <c:formatCode>General</c:formatCode>
                <c:ptCount val="27"/>
                <c:pt idx="0">
                  <c:v>16</c:v>
                </c:pt>
                <c:pt idx="1">
                  <c:v>18.14</c:v>
                </c:pt>
                <c:pt idx="2">
                  <c:v>20.27</c:v>
                </c:pt>
                <c:pt idx="3">
                  <c:v>22.41</c:v>
                </c:pt>
                <c:pt idx="4">
                  <c:v>24.54</c:v>
                </c:pt>
                <c:pt idx="5">
                  <c:v>26.68</c:v>
                </c:pt>
                <c:pt idx="6">
                  <c:v>28.81</c:v>
                </c:pt>
                <c:pt idx="7">
                  <c:v>32.880000000000003</c:v>
                </c:pt>
                <c:pt idx="8">
                  <c:v>36.950000000000003</c:v>
                </c:pt>
                <c:pt idx="9">
                  <c:v>41.02</c:v>
                </c:pt>
                <c:pt idx="10">
                  <c:v>45.09</c:v>
                </c:pt>
                <c:pt idx="11">
                  <c:v>49.16</c:v>
                </c:pt>
                <c:pt idx="12">
                  <c:v>52.63</c:v>
                </c:pt>
                <c:pt idx="13">
                  <c:v>56.1</c:v>
                </c:pt>
                <c:pt idx="14">
                  <c:v>59.58</c:v>
                </c:pt>
                <c:pt idx="15">
                  <c:v>63.05</c:v>
                </c:pt>
                <c:pt idx="16">
                  <c:v>66.52</c:v>
                </c:pt>
                <c:pt idx="17">
                  <c:v>68.87</c:v>
                </c:pt>
                <c:pt idx="18">
                  <c:v>71.22</c:v>
                </c:pt>
                <c:pt idx="19">
                  <c:v>73.569999999999993</c:v>
                </c:pt>
                <c:pt idx="20">
                  <c:v>75.92</c:v>
                </c:pt>
                <c:pt idx="21">
                  <c:v>78.260000000000005</c:v>
                </c:pt>
                <c:pt idx="22">
                  <c:v>80.61</c:v>
                </c:pt>
                <c:pt idx="23">
                  <c:v>82.96</c:v>
                </c:pt>
                <c:pt idx="24">
                  <c:v>85.31</c:v>
                </c:pt>
                <c:pt idx="25">
                  <c:v>87.66</c:v>
                </c:pt>
                <c:pt idx="26">
                  <c:v>90.01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80A-47FD-A384-85DCA79CFE5D}"/>
            </c:ext>
          </c:extLst>
        </c:ser>
        <c:ser>
          <c:idx val="17"/>
          <c:order val="17"/>
          <c:tx>
            <c:strRef>
              <c:f>All!$S$1</c:f>
              <c:strCache>
                <c:ptCount val="1"/>
                <c:pt idx="0">
                  <c:v>McKinsey (Headwinds)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All!$S$2:$S$28</c:f>
              <c:numCache>
                <c:formatCode>General</c:formatCode>
                <c:ptCount val="27"/>
                <c:pt idx="0">
                  <c:v>16</c:v>
                </c:pt>
                <c:pt idx="1">
                  <c:v>17.440000000000001</c:v>
                </c:pt>
                <c:pt idx="2">
                  <c:v>18.88</c:v>
                </c:pt>
                <c:pt idx="3">
                  <c:v>20.32</c:v>
                </c:pt>
                <c:pt idx="4">
                  <c:v>21.76</c:v>
                </c:pt>
                <c:pt idx="5">
                  <c:v>23.2</c:v>
                </c:pt>
                <c:pt idx="6">
                  <c:v>24.64</c:v>
                </c:pt>
                <c:pt idx="7">
                  <c:v>26.83</c:v>
                </c:pt>
                <c:pt idx="8">
                  <c:v>29.03</c:v>
                </c:pt>
                <c:pt idx="9">
                  <c:v>31.22</c:v>
                </c:pt>
                <c:pt idx="10">
                  <c:v>33.409999999999997</c:v>
                </c:pt>
                <c:pt idx="11">
                  <c:v>35.6</c:v>
                </c:pt>
                <c:pt idx="12">
                  <c:v>37.18</c:v>
                </c:pt>
                <c:pt idx="13">
                  <c:v>38.770000000000003</c:v>
                </c:pt>
                <c:pt idx="14">
                  <c:v>40.35</c:v>
                </c:pt>
                <c:pt idx="15">
                  <c:v>41.94</c:v>
                </c:pt>
                <c:pt idx="16">
                  <c:v>43.52</c:v>
                </c:pt>
                <c:pt idx="17">
                  <c:v>44.49</c:v>
                </c:pt>
                <c:pt idx="18">
                  <c:v>45.46</c:v>
                </c:pt>
                <c:pt idx="19">
                  <c:v>46.42</c:v>
                </c:pt>
                <c:pt idx="20">
                  <c:v>47.39</c:v>
                </c:pt>
                <c:pt idx="21">
                  <c:v>48.36</c:v>
                </c:pt>
                <c:pt idx="22">
                  <c:v>49.33</c:v>
                </c:pt>
                <c:pt idx="23">
                  <c:v>50.3</c:v>
                </c:pt>
                <c:pt idx="24">
                  <c:v>51.27</c:v>
                </c:pt>
                <c:pt idx="25">
                  <c:v>52.23</c:v>
                </c:pt>
                <c:pt idx="26">
                  <c:v>53.2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80A-47FD-A384-85DCA79CFE5D}"/>
            </c:ext>
          </c:extLst>
        </c:ser>
        <c:ser>
          <c:idx val="18"/>
          <c:order val="18"/>
          <c:tx>
            <c:strRef>
              <c:f>All!$T$1</c:f>
              <c:strCache>
                <c:ptCount val="1"/>
                <c:pt idx="0">
                  <c:v>McKinsey (Pessimistic- Deflation)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All!$T$2:$T$28</c:f>
              <c:numCache>
                <c:formatCode>General</c:formatCode>
                <c:ptCount val="27"/>
                <c:pt idx="0">
                  <c:v>16</c:v>
                </c:pt>
                <c:pt idx="1">
                  <c:v>19.2</c:v>
                </c:pt>
                <c:pt idx="2">
                  <c:v>22.4</c:v>
                </c:pt>
                <c:pt idx="3">
                  <c:v>25.6</c:v>
                </c:pt>
                <c:pt idx="4">
                  <c:v>28.8</c:v>
                </c:pt>
                <c:pt idx="5">
                  <c:v>32</c:v>
                </c:pt>
                <c:pt idx="6">
                  <c:v>35.200000000000003</c:v>
                </c:pt>
                <c:pt idx="7">
                  <c:v>38.72</c:v>
                </c:pt>
                <c:pt idx="8">
                  <c:v>42.24</c:v>
                </c:pt>
                <c:pt idx="9">
                  <c:v>45.76</c:v>
                </c:pt>
                <c:pt idx="10">
                  <c:v>49.28</c:v>
                </c:pt>
                <c:pt idx="11">
                  <c:v>52.8</c:v>
                </c:pt>
                <c:pt idx="12">
                  <c:v>50.16</c:v>
                </c:pt>
                <c:pt idx="13">
                  <c:v>47.52</c:v>
                </c:pt>
                <c:pt idx="14">
                  <c:v>44.88</c:v>
                </c:pt>
                <c:pt idx="15">
                  <c:v>42.24</c:v>
                </c:pt>
                <c:pt idx="16">
                  <c:v>39.6</c:v>
                </c:pt>
                <c:pt idx="17">
                  <c:v>36.96</c:v>
                </c:pt>
                <c:pt idx="18">
                  <c:v>34.32</c:v>
                </c:pt>
                <c:pt idx="19">
                  <c:v>31.68</c:v>
                </c:pt>
                <c:pt idx="20">
                  <c:v>29.04</c:v>
                </c:pt>
                <c:pt idx="21">
                  <c:v>26.4</c:v>
                </c:pt>
                <c:pt idx="22">
                  <c:v>27.06</c:v>
                </c:pt>
                <c:pt idx="23">
                  <c:v>27.72</c:v>
                </c:pt>
                <c:pt idx="24">
                  <c:v>28.38</c:v>
                </c:pt>
                <c:pt idx="25">
                  <c:v>29.04</c:v>
                </c:pt>
                <c:pt idx="26">
                  <c:v>29.7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E80A-47FD-A384-85DCA79CFE5D}"/>
            </c:ext>
          </c:extLst>
        </c:ser>
        <c:ser>
          <c:idx val="19"/>
          <c:order val="19"/>
          <c:tx>
            <c:strRef>
              <c:f>All!$U$1</c:f>
              <c:strCache>
                <c:ptCount val="1"/>
                <c:pt idx="0">
                  <c:v>McKinsey (Pessimistic- Med)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All!$U$2:$U$28</c:f>
              <c:numCache>
                <c:formatCode>General</c:formatCode>
                <c:ptCount val="27"/>
                <c:pt idx="0">
                  <c:v>16</c:v>
                </c:pt>
                <c:pt idx="1">
                  <c:v>19.2</c:v>
                </c:pt>
                <c:pt idx="2">
                  <c:v>22.4</c:v>
                </c:pt>
                <c:pt idx="3">
                  <c:v>25.6</c:v>
                </c:pt>
                <c:pt idx="4">
                  <c:v>28.8</c:v>
                </c:pt>
                <c:pt idx="5">
                  <c:v>32</c:v>
                </c:pt>
                <c:pt idx="6">
                  <c:v>35.200000000000003</c:v>
                </c:pt>
                <c:pt idx="7">
                  <c:v>40.479999999999997</c:v>
                </c:pt>
                <c:pt idx="8">
                  <c:v>45.76</c:v>
                </c:pt>
                <c:pt idx="9">
                  <c:v>51.04</c:v>
                </c:pt>
                <c:pt idx="10">
                  <c:v>56.32</c:v>
                </c:pt>
                <c:pt idx="11">
                  <c:v>61.6</c:v>
                </c:pt>
                <c:pt idx="12">
                  <c:v>56.98</c:v>
                </c:pt>
                <c:pt idx="13">
                  <c:v>52.36</c:v>
                </c:pt>
                <c:pt idx="14">
                  <c:v>47.74</c:v>
                </c:pt>
                <c:pt idx="15">
                  <c:v>43.12</c:v>
                </c:pt>
                <c:pt idx="16">
                  <c:v>38.5</c:v>
                </c:pt>
                <c:pt idx="17">
                  <c:v>39.94</c:v>
                </c:pt>
                <c:pt idx="18">
                  <c:v>41.39</c:v>
                </c:pt>
                <c:pt idx="19">
                  <c:v>42.83</c:v>
                </c:pt>
                <c:pt idx="20">
                  <c:v>44.28</c:v>
                </c:pt>
                <c:pt idx="21">
                  <c:v>45.72</c:v>
                </c:pt>
                <c:pt idx="22">
                  <c:v>47.16</c:v>
                </c:pt>
                <c:pt idx="23">
                  <c:v>48.61</c:v>
                </c:pt>
                <c:pt idx="24">
                  <c:v>50.05</c:v>
                </c:pt>
                <c:pt idx="25">
                  <c:v>51.49</c:v>
                </c:pt>
                <c:pt idx="26">
                  <c:v>52.94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80A-47FD-A384-85DCA79CFE5D}"/>
            </c:ext>
          </c:extLst>
        </c:ser>
        <c:ser>
          <c:idx val="20"/>
          <c:order val="20"/>
          <c:tx>
            <c:strRef>
              <c:f>All!$V$1</c:f>
              <c:strCache>
                <c:ptCount val="1"/>
                <c:pt idx="0">
                  <c:v>McKinsey (Pessimistic- End)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All!$A$2:$A$28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All!$V$2:$V$28</c:f>
              <c:numCache>
                <c:formatCode>General</c:formatCode>
                <c:ptCount val="27"/>
                <c:pt idx="0">
                  <c:v>16</c:v>
                </c:pt>
                <c:pt idx="1">
                  <c:v>19.2</c:v>
                </c:pt>
                <c:pt idx="2">
                  <c:v>22.4</c:v>
                </c:pt>
                <c:pt idx="3">
                  <c:v>25.6</c:v>
                </c:pt>
                <c:pt idx="4">
                  <c:v>28.8</c:v>
                </c:pt>
                <c:pt idx="5">
                  <c:v>32</c:v>
                </c:pt>
                <c:pt idx="6">
                  <c:v>35.200000000000003</c:v>
                </c:pt>
                <c:pt idx="7">
                  <c:v>40.479999999999997</c:v>
                </c:pt>
                <c:pt idx="8">
                  <c:v>45.76</c:v>
                </c:pt>
                <c:pt idx="9">
                  <c:v>51.04</c:v>
                </c:pt>
                <c:pt idx="10">
                  <c:v>56.32</c:v>
                </c:pt>
                <c:pt idx="11">
                  <c:v>61.6</c:v>
                </c:pt>
                <c:pt idx="12">
                  <c:v>66.22</c:v>
                </c:pt>
                <c:pt idx="13">
                  <c:v>70.84</c:v>
                </c:pt>
                <c:pt idx="14">
                  <c:v>75.459999999999994</c:v>
                </c:pt>
                <c:pt idx="15">
                  <c:v>80.08</c:v>
                </c:pt>
                <c:pt idx="16">
                  <c:v>84.7</c:v>
                </c:pt>
                <c:pt idx="17">
                  <c:v>81.52</c:v>
                </c:pt>
                <c:pt idx="18">
                  <c:v>78.349999999999994</c:v>
                </c:pt>
                <c:pt idx="19">
                  <c:v>75.17</c:v>
                </c:pt>
                <c:pt idx="20">
                  <c:v>72</c:v>
                </c:pt>
                <c:pt idx="21">
                  <c:v>68.819999999999993</c:v>
                </c:pt>
                <c:pt idx="22">
                  <c:v>70.11</c:v>
                </c:pt>
                <c:pt idx="23">
                  <c:v>71.400000000000006</c:v>
                </c:pt>
                <c:pt idx="24">
                  <c:v>72.69</c:v>
                </c:pt>
                <c:pt idx="25">
                  <c:v>73.98</c:v>
                </c:pt>
                <c:pt idx="26">
                  <c:v>75.27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80A-47FD-A384-85DCA79CF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171807"/>
        <c:axId val="1427168447"/>
      </c:scatterChart>
      <c:valAx>
        <c:axId val="142717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168447"/>
        <c:crosses val="autoZero"/>
        <c:crossBetween val="midCat"/>
      </c:valAx>
      <c:valAx>
        <c:axId val="142716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171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Capacity- IEA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IEA!$B$1</c:f>
              <c:strCache>
                <c:ptCount val="1"/>
                <c:pt idx="0">
                  <c:v> IEA (Base)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IEA!$A$2:$A$28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IEA!$B$2:$B$28</c:f>
              <c:numCache>
                <c:formatCode>General</c:formatCode>
                <c:ptCount val="27"/>
                <c:pt idx="0">
                  <c:v>16</c:v>
                </c:pt>
                <c:pt idx="1">
                  <c:v>17.829999999999998</c:v>
                </c:pt>
                <c:pt idx="2">
                  <c:v>19.670000000000002</c:v>
                </c:pt>
                <c:pt idx="3">
                  <c:v>21.5</c:v>
                </c:pt>
                <c:pt idx="4">
                  <c:v>23.33</c:v>
                </c:pt>
                <c:pt idx="5">
                  <c:v>25.17</c:v>
                </c:pt>
                <c:pt idx="6">
                  <c:v>27</c:v>
                </c:pt>
                <c:pt idx="7">
                  <c:v>29.7</c:v>
                </c:pt>
                <c:pt idx="8">
                  <c:v>32.4</c:v>
                </c:pt>
                <c:pt idx="9">
                  <c:v>35.1</c:v>
                </c:pt>
                <c:pt idx="10">
                  <c:v>37.799999999999997</c:v>
                </c:pt>
                <c:pt idx="11">
                  <c:v>40.5</c:v>
                </c:pt>
                <c:pt idx="12">
                  <c:v>42.53</c:v>
                </c:pt>
                <c:pt idx="13">
                  <c:v>44.55</c:v>
                </c:pt>
                <c:pt idx="14">
                  <c:v>46.58</c:v>
                </c:pt>
                <c:pt idx="15">
                  <c:v>48.6</c:v>
                </c:pt>
                <c:pt idx="16">
                  <c:v>50.63</c:v>
                </c:pt>
                <c:pt idx="17">
                  <c:v>51.9</c:v>
                </c:pt>
                <c:pt idx="18">
                  <c:v>53.16</c:v>
                </c:pt>
                <c:pt idx="19">
                  <c:v>54.43</c:v>
                </c:pt>
                <c:pt idx="20">
                  <c:v>55.69</c:v>
                </c:pt>
                <c:pt idx="21">
                  <c:v>56.96</c:v>
                </c:pt>
                <c:pt idx="22">
                  <c:v>58.22</c:v>
                </c:pt>
                <c:pt idx="23">
                  <c:v>59.49</c:v>
                </c:pt>
                <c:pt idx="24">
                  <c:v>60.76</c:v>
                </c:pt>
                <c:pt idx="25">
                  <c:v>62.02</c:v>
                </c:pt>
                <c:pt idx="26">
                  <c:v>63.29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0D-4D25-8E8D-80735CC957AC}"/>
            </c:ext>
          </c:extLst>
        </c:ser>
        <c:ser>
          <c:idx val="1"/>
          <c:order val="1"/>
          <c:tx>
            <c:strRef>
              <c:f>IEA!$C$1</c:f>
              <c:strCache>
                <c:ptCount val="1"/>
                <c:pt idx="0">
                  <c:v> IEA (Lift-Off)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IEA!$A$2:$A$28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IEA!$C$2:$C$28</c:f>
              <c:numCache>
                <c:formatCode>General</c:formatCode>
                <c:ptCount val="27"/>
                <c:pt idx="0">
                  <c:v>16</c:v>
                </c:pt>
                <c:pt idx="1">
                  <c:v>19.41</c:v>
                </c:pt>
                <c:pt idx="2">
                  <c:v>22.81</c:v>
                </c:pt>
                <c:pt idx="3">
                  <c:v>26.22</c:v>
                </c:pt>
                <c:pt idx="4">
                  <c:v>29.63</c:v>
                </c:pt>
                <c:pt idx="5">
                  <c:v>33.03</c:v>
                </c:pt>
                <c:pt idx="6">
                  <c:v>36.44</c:v>
                </c:pt>
                <c:pt idx="7">
                  <c:v>40.97</c:v>
                </c:pt>
                <c:pt idx="8">
                  <c:v>45.49</c:v>
                </c:pt>
                <c:pt idx="9">
                  <c:v>50.02</c:v>
                </c:pt>
                <c:pt idx="10">
                  <c:v>54.54</c:v>
                </c:pt>
                <c:pt idx="11">
                  <c:v>59.07</c:v>
                </c:pt>
                <c:pt idx="12">
                  <c:v>62.74</c:v>
                </c:pt>
                <c:pt idx="13">
                  <c:v>66.41</c:v>
                </c:pt>
                <c:pt idx="14">
                  <c:v>70.069999999999993</c:v>
                </c:pt>
                <c:pt idx="15">
                  <c:v>73.739999999999995</c:v>
                </c:pt>
                <c:pt idx="16">
                  <c:v>77.41</c:v>
                </c:pt>
                <c:pt idx="17">
                  <c:v>79.81</c:v>
                </c:pt>
                <c:pt idx="18">
                  <c:v>82.22</c:v>
                </c:pt>
                <c:pt idx="19">
                  <c:v>84.62</c:v>
                </c:pt>
                <c:pt idx="20">
                  <c:v>87.02</c:v>
                </c:pt>
                <c:pt idx="21">
                  <c:v>89.43</c:v>
                </c:pt>
                <c:pt idx="22">
                  <c:v>91.83</c:v>
                </c:pt>
                <c:pt idx="23">
                  <c:v>94.23</c:v>
                </c:pt>
                <c:pt idx="24">
                  <c:v>96.64</c:v>
                </c:pt>
                <c:pt idx="25">
                  <c:v>99.04</c:v>
                </c:pt>
                <c:pt idx="26">
                  <c:v>101.44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0D-4D25-8E8D-80735CC957AC}"/>
            </c:ext>
          </c:extLst>
        </c:ser>
        <c:ser>
          <c:idx val="2"/>
          <c:order val="2"/>
          <c:tx>
            <c:strRef>
              <c:f>IEA!$D$1</c:f>
              <c:strCache>
                <c:ptCount val="1"/>
                <c:pt idx="0">
                  <c:v> IEA (High-Efficiency)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IEA!$A$2:$A$28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IEA!$D$2:$D$28</c:f>
              <c:numCache>
                <c:formatCode>General</c:formatCode>
                <c:ptCount val="27"/>
                <c:pt idx="0">
                  <c:v>16</c:v>
                </c:pt>
                <c:pt idx="1">
                  <c:v>17.02</c:v>
                </c:pt>
                <c:pt idx="2">
                  <c:v>18.03</c:v>
                </c:pt>
                <c:pt idx="3">
                  <c:v>19.05</c:v>
                </c:pt>
                <c:pt idx="4">
                  <c:v>20.07</c:v>
                </c:pt>
                <c:pt idx="5">
                  <c:v>21.08</c:v>
                </c:pt>
                <c:pt idx="6">
                  <c:v>22.1</c:v>
                </c:pt>
                <c:pt idx="7">
                  <c:v>24.14</c:v>
                </c:pt>
                <c:pt idx="8">
                  <c:v>26.19</c:v>
                </c:pt>
                <c:pt idx="9">
                  <c:v>28.23</c:v>
                </c:pt>
                <c:pt idx="10">
                  <c:v>30.28</c:v>
                </c:pt>
                <c:pt idx="11">
                  <c:v>32.32</c:v>
                </c:pt>
                <c:pt idx="12">
                  <c:v>33.81</c:v>
                </c:pt>
                <c:pt idx="13">
                  <c:v>35.31</c:v>
                </c:pt>
                <c:pt idx="14">
                  <c:v>36.799999999999997</c:v>
                </c:pt>
                <c:pt idx="15">
                  <c:v>38.299999999999997</c:v>
                </c:pt>
                <c:pt idx="16">
                  <c:v>39.79</c:v>
                </c:pt>
                <c:pt idx="17">
                  <c:v>40.71</c:v>
                </c:pt>
                <c:pt idx="18">
                  <c:v>41.63</c:v>
                </c:pt>
                <c:pt idx="19">
                  <c:v>42.55</c:v>
                </c:pt>
                <c:pt idx="20">
                  <c:v>43.47</c:v>
                </c:pt>
                <c:pt idx="21">
                  <c:v>44.39</c:v>
                </c:pt>
                <c:pt idx="22">
                  <c:v>45.31</c:v>
                </c:pt>
                <c:pt idx="23">
                  <c:v>46.23</c:v>
                </c:pt>
                <c:pt idx="24">
                  <c:v>47.15</c:v>
                </c:pt>
                <c:pt idx="25">
                  <c:v>48.07</c:v>
                </c:pt>
                <c:pt idx="26">
                  <c:v>48.99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0D-4D25-8E8D-80735CC957AC}"/>
            </c:ext>
          </c:extLst>
        </c:ser>
        <c:ser>
          <c:idx val="3"/>
          <c:order val="3"/>
          <c:tx>
            <c:strRef>
              <c:f>IEA!$E$1</c:f>
              <c:strCache>
                <c:ptCount val="1"/>
                <c:pt idx="0">
                  <c:v> IEA (Headwinds)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IEA!$A$2:$A$28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IEA!$E$2:$E$28</c:f>
              <c:numCache>
                <c:formatCode>General</c:formatCode>
                <c:ptCount val="27"/>
                <c:pt idx="0">
                  <c:v>16</c:v>
                </c:pt>
                <c:pt idx="1">
                  <c:v>16.48</c:v>
                </c:pt>
                <c:pt idx="2">
                  <c:v>16.97</c:v>
                </c:pt>
                <c:pt idx="3">
                  <c:v>17.45</c:v>
                </c:pt>
                <c:pt idx="4">
                  <c:v>17.93</c:v>
                </c:pt>
                <c:pt idx="5">
                  <c:v>18.420000000000002</c:v>
                </c:pt>
                <c:pt idx="6">
                  <c:v>18.899999999999999</c:v>
                </c:pt>
                <c:pt idx="7">
                  <c:v>19.8</c:v>
                </c:pt>
                <c:pt idx="8">
                  <c:v>20.7</c:v>
                </c:pt>
                <c:pt idx="9">
                  <c:v>21.61</c:v>
                </c:pt>
                <c:pt idx="10">
                  <c:v>22.51</c:v>
                </c:pt>
                <c:pt idx="11">
                  <c:v>23.41</c:v>
                </c:pt>
                <c:pt idx="12">
                  <c:v>23.97</c:v>
                </c:pt>
                <c:pt idx="13">
                  <c:v>24.53</c:v>
                </c:pt>
                <c:pt idx="14">
                  <c:v>25.09</c:v>
                </c:pt>
                <c:pt idx="15">
                  <c:v>25.64</c:v>
                </c:pt>
                <c:pt idx="16">
                  <c:v>26.2</c:v>
                </c:pt>
                <c:pt idx="17">
                  <c:v>26.51</c:v>
                </c:pt>
                <c:pt idx="18">
                  <c:v>26.83</c:v>
                </c:pt>
                <c:pt idx="19">
                  <c:v>27.14</c:v>
                </c:pt>
                <c:pt idx="20">
                  <c:v>27.45</c:v>
                </c:pt>
                <c:pt idx="21">
                  <c:v>27.76</c:v>
                </c:pt>
                <c:pt idx="22">
                  <c:v>28.08</c:v>
                </c:pt>
                <c:pt idx="23">
                  <c:v>28.39</c:v>
                </c:pt>
                <c:pt idx="24">
                  <c:v>28.7</c:v>
                </c:pt>
                <c:pt idx="25">
                  <c:v>29.01</c:v>
                </c:pt>
                <c:pt idx="26">
                  <c:v>29.33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0D-4D25-8E8D-80735CC957AC}"/>
            </c:ext>
          </c:extLst>
        </c:ser>
        <c:ser>
          <c:idx val="4"/>
          <c:order val="4"/>
          <c:tx>
            <c:strRef>
              <c:f>IEA!$F$1</c:f>
              <c:strCache>
                <c:ptCount val="1"/>
                <c:pt idx="0">
                  <c:v>IEA (Pessimistic - Deflation)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IEA!$A$2:$A$28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IEA!$F$2:$F$28</c:f>
              <c:numCache>
                <c:formatCode>General</c:formatCode>
                <c:ptCount val="27"/>
                <c:pt idx="0">
                  <c:v>16</c:v>
                </c:pt>
                <c:pt idx="1">
                  <c:v>17.829999999999998</c:v>
                </c:pt>
                <c:pt idx="2">
                  <c:v>19.670000000000002</c:v>
                </c:pt>
                <c:pt idx="3">
                  <c:v>21.5</c:v>
                </c:pt>
                <c:pt idx="4">
                  <c:v>23.33</c:v>
                </c:pt>
                <c:pt idx="5">
                  <c:v>25.17</c:v>
                </c:pt>
                <c:pt idx="6">
                  <c:v>27</c:v>
                </c:pt>
                <c:pt idx="7">
                  <c:v>28.35</c:v>
                </c:pt>
                <c:pt idx="8">
                  <c:v>29.7</c:v>
                </c:pt>
                <c:pt idx="9">
                  <c:v>31.05</c:v>
                </c:pt>
                <c:pt idx="10">
                  <c:v>32.4</c:v>
                </c:pt>
                <c:pt idx="11">
                  <c:v>33.75</c:v>
                </c:pt>
                <c:pt idx="12">
                  <c:v>32.06</c:v>
                </c:pt>
                <c:pt idx="13">
                  <c:v>30.38</c:v>
                </c:pt>
                <c:pt idx="14">
                  <c:v>28.69</c:v>
                </c:pt>
                <c:pt idx="15">
                  <c:v>27</c:v>
                </c:pt>
                <c:pt idx="16">
                  <c:v>25.31</c:v>
                </c:pt>
                <c:pt idx="17">
                  <c:v>23.63</c:v>
                </c:pt>
                <c:pt idx="18">
                  <c:v>21.94</c:v>
                </c:pt>
                <c:pt idx="19">
                  <c:v>20.25</c:v>
                </c:pt>
                <c:pt idx="20">
                  <c:v>18.559999999999999</c:v>
                </c:pt>
                <c:pt idx="21">
                  <c:v>16.88</c:v>
                </c:pt>
                <c:pt idx="22">
                  <c:v>17.3</c:v>
                </c:pt>
                <c:pt idx="23">
                  <c:v>17.72</c:v>
                </c:pt>
                <c:pt idx="24">
                  <c:v>18.149999999999999</c:v>
                </c:pt>
                <c:pt idx="25">
                  <c:v>18.57</c:v>
                </c:pt>
                <c:pt idx="26">
                  <c:v>18.989999999999998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0D-4D25-8E8D-80735CC957AC}"/>
            </c:ext>
          </c:extLst>
        </c:ser>
        <c:ser>
          <c:idx val="5"/>
          <c:order val="5"/>
          <c:tx>
            <c:strRef>
              <c:f>IEA!$G$1</c:f>
              <c:strCache>
                <c:ptCount val="1"/>
                <c:pt idx="0">
                  <c:v>IEA (Pessimistic - Med)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IEA!$A$2:$A$28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IEA!$G$2:$G$28</c:f>
              <c:numCache>
                <c:formatCode>General</c:formatCode>
                <c:ptCount val="27"/>
                <c:pt idx="0">
                  <c:v>16</c:v>
                </c:pt>
                <c:pt idx="1">
                  <c:v>17.829999999999998</c:v>
                </c:pt>
                <c:pt idx="2">
                  <c:v>19.670000000000002</c:v>
                </c:pt>
                <c:pt idx="3">
                  <c:v>21.5</c:v>
                </c:pt>
                <c:pt idx="4">
                  <c:v>23.33</c:v>
                </c:pt>
                <c:pt idx="5">
                  <c:v>25.17</c:v>
                </c:pt>
                <c:pt idx="6">
                  <c:v>27</c:v>
                </c:pt>
                <c:pt idx="7">
                  <c:v>29.7</c:v>
                </c:pt>
                <c:pt idx="8">
                  <c:v>32.4</c:v>
                </c:pt>
                <c:pt idx="9">
                  <c:v>35.1</c:v>
                </c:pt>
                <c:pt idx="10">
                  <c:v>37.799999999999997</c:v>
                </c:pt>
                <c:pt idx="11">
                  <c:v>40.5</c:v>
                </c:pt>
                <c:pt idx="12">
                  <c:v>38.479999999999997</c:v>
                </c:pt>
                <c:pt idx="13">
                  <c:v>36.450000000000003</c:v>
                </c:pt>
                <c:pt idx="14">
                  <c:v>34.43</c:v>
                </c:pt>
                <c:pt idx="15">
                  <c:v>32.4</c:v>
                </c:pt>
                <c:pt idx="16">
                  <c:v>30.38</c:v>
                </c:pt>
                <c:pt idx="17">
                  <c:v>31.14</c:v>
                </c:pt>
                <c:pt idx="18">
                  <c:v>31.9</c:v>
                </c:pt>
                <c:pt idx="19">
                  <c:v>32.659999999999997</c:v>
                </c:pt>
                <c:pt idx="20">
                  <c:v>33.42</c:v>
                </c:pt>
                <c:pt idx="21">
                  <c:v>34.18</c:v>
                </c:pt>
                <c:pt idx="22">
                  <c:v>34.94</c:v>
                </c:pt>
                <c:pt idx="23">
                  <c:v>35.700000000000003</c:v>
                </c:pt>
                <c:pt idx="24">
                  <c:v>36.46</c:v>
                </c:pt>
                <c:pt idx="25">
                  <c:v>37.22</c:v>
                </c:pt>
                <c:pt idx="26">
                  <c:v>37.979999999999997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0D-4D25-8E8D-80735CC957AC}"/>
            </c:ext>
          </c:extLst>
        </c:ser>
        <c:ser>
          <c:idx val="6"/>
          <c:order val="6"/>
          <c:tx>
            <c:strRef>
              <c:f>IEA!$H$1</c:f>
              <c:strCache>
                <c:ptCount val="1"/>
                <c:pt idx="0">
                  <c:v>IEA (Pessimistic -End)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IEA!$A$2:$A$28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IEA!$H$2:$H$28</c:f>
              <c:numCache>
                <c:formatCode>General</c:formatCode>
                <c:ptCount val="27"/>
                <c:pt idx="0">
                  <c:v>16</c:v>
                </c:pt>
                <c:pt idx="1">
                  <c:v>17.829999999999998</c:v>
                </c:pt>
                <c:pt idx="2">
                  <c:v>19.670000000000002</c:v>
                </c:pt>
                <c:pt idx="3">
                  <c:v>21.5</c:v>
                </c:pt>
                <c:pt idx="4">
                  <c:v>23.33</c:v>
                </c:pt>
                <c:pt idx="5">
                  <c:v>25.17</c:v>
                </c:pt>
                <c:pt idx="6">
                  <c:v>27</c:v>
                </c:pt>
                <c:pt idx="7">
                  <c:v>29.7</c:v>
                </c:pt>
                <c:pt idx="8">
                  <c:v>32.4</c:v>
                </c:pt>
                <c:pt idx="9">
                  <c:v>35.1</c:v>
                </c:pt>
                <c:pt idx="10">
                  <c:v>37.799999999999997</c:v>
                </c:pt>
                <c:pt idx="11">
                  <c:v>40.5</c:v>
                </c:pt>
                <c:pt idx="12">
                  <c:v>42.53</c:v>
                </c:pt>
                <c:pt idx="13">
                  <c:v>44.55</c:v>
                </c:pt>
                <c:pt idx="14">
                  <c:v>46.58</c:v>
                </c:pt>
                <c:pt idx="15">
                  <c:v>48.6</c:v>
                </c:pt>
                <c:pt idx="16">
                  <c:v>50.63</c:v>
                </c:pt>
                <c:pt idx="17">
                  <c:v>49.36</c:v>
                </c:pt>
                <c:pt idx="18">
                  <c:v>48.1</c:v>
                </c:pt>
                <c:pt idx="19">
                  <c:v>46.83</c:v>
                </c:pt>
                <c:pt idx="20">
                  <c:v>45.57</c:v>
                </c:pt>
                <c:pt idx="21">
                  <c:v>44.3</c:v>
                </c:pt>
                <c:pt idx="22">
                  <c:v>44.85</c:v>
                </c:pt>
                <c:pt idx="23">
                  <c:v>45.41</c:v>
                </c:pt>
                <c:pt idx="24">
                  <c:v>45.96</c:v>
                </c:pt>
                <c:pt idx="25">
                  <c:v>46.52</c:v>
                </c:pt>
                <c:pt idx="26">
                  <c:v>47.07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0D-4D25-8E8D-80735CC95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604768"/>
        <c:axId val="840605248"/>
      </c:scatterChart>
      <c:valAx>
        <c:axId val="84060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605248"/>
        <c:crosses val="autoZero"/>
        <c:crossBetween val="midCat"/>
      </c:valAx>
      <c:valAx>
        <c:axId val="8406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60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Capacity- ICIS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ICIS!$B$1</c:f>
              <c:strCache>
                <c:ptCount val="1"/>
                <c:pt idx="0">
                  <c:v> ICIS (Base)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ICIS!$A$2:$A$28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ICIS!$B$2:$B$28</c:f>
              <c:numCache>
                <c:formatCode>General</c:formatCode>
                <c:ptCount val="27"/>
                <c:pt idx="0">
                  <c:v>16</c:v>
                </c:pt>
                <c:pt idx="1">
                  <c:v>18.399999999999999</c:v>
                </c:pt>
                <c:pt idx="2">
                  <c:v>20.8</c:v>
                </c:pt>
                <c:pt idx="3">
                  <c:v>23.2</c:v>
                </c:pt>
                <c:pt idx="4">
                  <c:v>25.6</c:v>
                </c:pt>
                <c:pt idx="5">
                  <c:v>28</c:v>
                </c:pt>
                <c:pt idx="6">
                  <c:v>30.4</c:v>
                </c:pt>
                <c:pt idx="7">
                  <c:v>33.44</c:v>
                </c:pt>
                <c:pt idx="8">
                  <c:v>36.479999999999997</c:v>
                </c:pt>
                <c:pt idx="9">
                  <c:v>39.520000000000003</c:v>
                </c:pt>
                <c:pt idx="10">
                  <c:v>42.56</c:v>
                </c:pt>
                <c:pt idx="11">
                  <c:v>45.6</c:v>
                </c:pt>
                <c:pt idx="12">
                  <c:v>47.88</c:v>
                </c:pt>
                <c:pt idx="13">
                  <c:v>50.16</c:v>
                </c:pt>
                <c:pt idx="14">
                  <c:v>52.44</c:v>
                </c:pt>
                <c:pt idx="15">
                  <c:v>54.72</c:v>
                </c:pt>
                <c:pt idx="16">
                  <c:v>57</c:v>
                </c:pt>
                <c:pt idx="17">
                  <c:v>58.43</c:v>
                </c:pt>
                <c:pt idx="18">
                  <c:v>59.85</c:v>
                </c:pt>
                <c:pt idx="19">
                  <c:v>61.28</c:v>
                </c:pt>
                <c:pt idx="20">
                  <c:v>62.7</c:v>
                </c:pt>
                <c:pt idx="21">
                  <c:v>64.13</c:v>
                </c:pt>
                <c:pt idx="22">
                  <c:v>65.55</c:v>
                </c:pt>
                <c:pt idx="23">
                  <c:v>66.98</c:v>
                </c:pt>
                <c:pt idx="24">
                  <c:v>68.400000000000006</c:v>
                </c:pt>
                <c:pt idx="25">
                  <c:v>69.83</c:v>
                </c:pt>
                <c:pt idx="26">
                  <c:v>71.25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F-4899-B72D-9B7EC70AC787}"/>
            </c:ext>
          </c:extLst>
        </c:ser>
        <c:ser>
          <c:idx val="1"/>
          <c:order val="1"/>
          <c:tx>
            <c:strRef>
              <c:f>ICIS!$C$1</c:f>
              <c:strCache>
                <c:ptCount val="1"/>
                <c:pt idx="0">
                  <c:v> ICIS (Lift-Off)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ICIS!$A$2:$A$28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ICIS!$C$2:$C$28</c:f>
              <c:numCache>
                <c:formatCode>General</c:formatCode>
                <c:ptCount val="27"/>
                <c:pt idx="0">
                  <c:v>16</c:v>
                </c:pt>
                <c:pt idx="1">
                  <c:v>20.170000000000002</c:v>
                </c:pt>
                <c:pt idx="2">
                  <c:v>24.35</c:v>
                </c:pt>
                <c:pt idx="3">
                  <c:v>28.52</c:v>
                </c:pt>
                <c:pt idx="4">
                  <c:v>32.69</c:v>
                </c:pt>
                <c:pt idx="5">
                  <c:v>36.869999999999997</c:v>
                </c:pt>
                <c:pt idx="6">
                  <c:v>41.04</c:v>
                </c:pt>
                <c:pt idx="7">
                  <c:v>46.13</c:v>
                </c:pt>
                <c:pt idx="8">
                  <c:v>51.22</c:v>
                </c:pt>
                <c:pt idx="9">
                  <c:v>56.31</c:v>
                </c:pt>
                <c:pt idx="10">
                  <c:v>61.4</c:v>
                </c:pt>
                <c:pt idx="11">
                  <c:v>66.48</c:v>
                </c:pt>
                <c:pt idx="12">
                  <c:v>70.599999999999994</c:v>
                </c:pt>
                <c:pt idx="13">
                  <c:v>74.72</c:v>
                </c:pt>
                <c:pt idx="14">
                  <c:v>78.849999999999994</c:v>
                </c:pt>
                <c:pt idx="15">
                  <c:v>82.97</c:v>
                </c:pt>
                <c:pt idx="16">
                  <c:v>87.09</c:v>
                </c:pt>
                <c:pt idx="17">
                  <c:v>89.79</c:v>
                </c:pt>
                <c:pt idx="18">
                  <c:v>92.49</c:v>
                </c:pt>
                <c:pt idx="19">
                  <c:v>95.19</c:v>
                </c:pt>
                <c:pt idx="20">
                  <c:v>97.89</c:v>
                </c:pt>
                <c:pt idx="21">
                  <c:v>100.59</c:v>
                </c:pt>
                <c:pt idx="22">
                  <c:v>103.29</c:v>
                </c:pt>
                <c:pt idx="23">
                  <c:v>105.99</c:v>
                </c:pt>
                <c:pt idx="24">
                  <c:v>108.69</c:v>
                </c:pt>
                <c:pt idx="25">
                  <c:v>111.39</c:v>
                </c:pt>
                <c:pt idx="26">
                  <c:v>114.09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6F-4899-B72D-9B7EC70AC787}"/>
            </c:ext>
          </c:extLst>
        </c:ser>
        <c:ser>
          <c:idx val="2"/>
          <c:order val="2"/>
          <c:tx>
            <c:strRef>
              <c:f>ICIS!$D$1</c:f>
              <c:strCache>
                <c:ptCount val="1"/>
                <c:pt idx="0">
                  <c:v> ICIS (High-Efficiency)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ICIS!$A$2:$A$28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ICIS!$D$2:$D$28</c:f>
              <c:numCache>
                <c:formatCode>General</c:formatCode>
                <c:ptCount val="27"/>
                <c:pt idx="0">
                  <c:v>16</c:v>
                </c:pt>
                <c:pt idx="1">
                  <c:v>17.48</c:v>
                </c:pt>
                <c:pt idx="2">
                  <c:v>18.96</c:v>
                </c:pt>
                <c:pt idx="3">
                  <c:v>20.440000000000001</c:v>
                </c:pt>
                <c:pt idx="4">
                  <c:v>21.92</c:v>
                </c:pt>
                <c:pt idx="5">
                  <c:v>23.4</c:v>
                </c:pt>
                <c:pt idx="6">
                  <c:v>24.88</c:v>
                </c:pt>
                <c:pt idx="7">
                  <c:v>27.18</c:v>
                </c:pt>
                <c:pt idx="8">
                  <c:v>29.48</c:v>
                </c:pt>
                <c:pt idx="9">
                  <c:v>31.79</c:v>
                </c:pt>
                <c:pt idx="10">
                  <c:v>34.090000000000003</c:v>
                </c:pt>
                <c:pt idx="11">
                  <c:v>36.39</c:v>
                </c:pt>
                <c:pt idx="12">
                  <c:v>38.07</c:v>
                </c:pt>
                <c:pt idx="13">
                  <c:v>39.76</c:v>
                </c:pt>
                <c:pt idx="14">
                  <c:v>41.44</c:v>
                </c:pt>
                <c:pt idx="15">
                  <c:v>43.12</c:v>
                </c:pt>
                <c:pt idx="16">
                  <c:v>44.81</c:v>
                </c:pt>
                <c:pt idx="17">
                  <c:v>45.85</c:v>
                </c:pt>
                <c:pt idx="18">
                  <c:v>46.88</c:v>
                </c:pt>
                <c:pt idx="19">
                  <c:v>47.92</c:v>
                </c:pt>
                <c:pt idx="20">
                  <c:v>48.96</c:v>
                </c:pt>
                <c:pt idx="21">
                  <c:v>49.99</c:v>
                </c:pt>
                <c:pt idx="22">
                  <c:v>51.03</c:v>
                </c:pt>
                <c:pt idx="23">
                  <c:v>52.07</c:v>
                </c:pt>
                <c:pt idx="24">
                  <c:v>53.1</c:v>
                </c:pt>
                <c:pt idx="25">
                  <c:v>54.14</c:v>
                </c:pt>
                <c:pt idx="26">
                  <c:v>55.18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6F-4899-B72D-9B7EC70AC787}"/>
            </c:ext>
          </c:extLst>
        </c:ser>
        <c:ser>
          <c:idx val="3"/>
          <c:order val="3"/>
          <c:tx>
            <c:strRef>
              <c:f>ICIS!$E$1</c:f>
              <c:strCache>
                <c:ptCount val="1"/>
                <c:pt idx="0">
                  <c:v> ICIS (Headwinds)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ICIS!$A$2:$A$28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ICIS!$E$2:$E$28</c:f>
              <c:numCache>
                <c:formatCode>General</c:formatCode>
                <c:ptCount val="27"/>
                <c:pt idx="0">
                  <c:v>16</c:v>
                </c:pt>
                <c:pt idx="1">
                  <c:v>16.88</c:v>
                </c:pt>
                <c:pt idx="2">
                  <c:v>17.760000000000002</c:v>
                </c:pt>
                <c:pt idx="3">
                  <c:v>18.64</c:v>
                </c:pt>
                <c:pt idx="4">
                  <c:v>19.52</c:v>
                </c:pt>
                <c:pt idx="5">
                  <c:v>20.399999999999999</c:v>
                </c:pt>
                <c:pt idx="6">
                  <c:v>21.28</c:v>
                </c:pt>
                <c:pt idx="7">
                  <c:v>22.3</c:v>
                </c:pt>
                <c:pt idx="8">
                  <c:v>23.31</c:v>
                </c:pt>
                <c:pt idx="9">
                  <c:v>24.33</c:v>
                </c:pt>
                <c:pt idx="10">
                  <c:v>25.34</c:v>
                </c:pt>
                <c:pt idx="11">
                  <c:v>26.36</c:v>
                </c:pt>
                <c:pt idx="12">
                  <c:v>26.99</c:v>
                </c:pt>
                <c:pt idx="13">
                  <c:v>27.62</c:v>
                </c:pt>
                <c:pt idx="14">
                  <c:v>28.25</c:v>
                </c:pt>
                <c:pt idx="15">
                  <c:v>28.88</c:v>
                </c:pt>
                <c:pt idx="16">
                  <c:v>29.5</c:v>
                </c:pt>
                <c:pt idx="17">
                  <c:v>29.85</c:v>
                </c:pt>
                <c:pt idx="18">
                  <c:v>30.2</c:v>
                </c:pt>
                <c:pt idx="19">
                  <c:v>30.56</c:v>
                </c:pt>
                <c:pt idx="20">
                  <c:v>30.91</c:v>
                </c:pt>
                <c:pt idx="21">
                  <c:v>31.26</c:v>
                </c:pt>
                <c:pt idx="22">
                  <c:v>31.61</c:v>
                </c:pt>
                <c:pt idx="23">
                  <c:v>31.96</c:v>
                </c:pt>
                <c:pt idx="24">
                  <c:v>32.32</c:v>
                </c:pt>
                <c:pt idx="25">
                  <c:v>32.67</c:v>
                </c:pt>
                <c:pt idx="26">
                  <c:v>33.020000000000003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6F-4899-B72D-9B7EC70AC787}"/>
            </c:ext>
          </c:extLst>
        </c:ser>
        <c:ser>
          <c:idx val="4"/>
          <c:order val="4"/>
          <c:tx>
            <c:strRef>
              <c:f>ICIS!$F$1</c:f>
              <c:strCache>
                <c:ptCount val="1"/>
                <c:pt idx="0">
                  <c:v>ICIS (Pessimistic- Deflation)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ICIS!$A$2:$A$28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ICIS!$F$2:$F$28</c:f>
              <c:numCache>
                <c:formatCode>General</c:formatCode>
                <c:ptCount val="27"/>
                <c:pt idx="0">
                  <c:v>16</c:v>
                </c:pt>
                <c:pt idx="1">
                  <c:v>18.399999999999999</c:v>
                </c:pt>
                <c:pt idx="2">
                  <c:v>20.8</c:v>
                </c:pt>
                <c:pt idx="3">
                  <c:v>23.2</c:v>
                </c:pt>
                <c:pt idx="4">
                  <c:v>25.6</c:v>
                </c:pt>
                <c:pt idx="5">
                  <c:v>28</c:v>
                </c:pt>
                <c:pt idx="6">
                  <c:v>30.4</c:v>
                </c:pt>
                <c:pt idx="7">
                  <c:v>31.92</c:v>
                </c:pt>
                <c:pt idx="8">
                  <c:v>33.44</c:v>
                </c:pt>
                <c:pt idx="9">
                  <c:v>34.96</c:v>
                </c:pt>
                <c:pt idx="10">
                  <c:v>36.479999999999997</c:v>
                </c:pt>
                <c:pt idx="11">
                  <c:v>38</c:v>
                </c:pt>
                <c:pt idx="12">
                  <c:v>36.1</c:v>
                </c:pt>
                <c:pt idx="13">
                  <c:v>34.200000000000003</c:v>
                </c:pt>
                <c:pt idx="14">
                  <c:v>32.299999999999997</c:v>
                </c:pt>
                <c:pt idx="15">
                  <c:v>30.4</c:v>
                </c:pt>
                <c:pt idx="16">
                  <c:v>28.5</c:v>
                </c:pt>
                <c:pt idx="17">
                  <c:v>26.6</c:v>
                </c:pt>
                <c:pt idx="18">
                  <c:v>24.7</c:v>
                </c:pt>
                <c:pt idx="19">
                  <c:v>22.8</c:v>
                </c:pt>
                <c:pt idx="20">
                  <c:v>20.9</c:v>
                </c:pt>
                <c:pt idx="21">
                  <c:v>19</c:v>
                </c:pt>
                <c:pt idx="22">
                  <c:v>19.48</c:v>
                </c:pt>
                <c:pt idx="23">
                  <c:v>19.95</c:v>
                </c:pt>
                <c:pt idx="24">
                  <c:v>20.43</c:v>
                </c:pt>
                <c:pt idx="25">
                  <c:v>20.9</c:v>
                </c:pt>
                <c:pt idx="26">
                  <c:v>21.38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6F-4899-B72D-9B7EC70AC787}"/>
            </c:ext>
          </c:extLst>
        </c:ser>
        <c:ser>
          <c:idx val="5"/>
          <c:order val="5"/>
          <c:tx>
            <c:strRef>
              <c:f>ICIS!$G$1</c:f>
              <c:strCache>
                <c:ptCount val="1"/>
                <c:pt idx="0">
                  <c:v>ICIS (Pessimistic- Med)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ICIS!$A$2:$A$28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ICIS!$G$2:$G$28</c:f>
              <c:numCache>
                <c:formatCode>General</c:formatCode>
                <c:ptCount val="27"/>
                <c:pt idx="0">
                  <c:v>16</c:v>
                </c:pt>
                <c:pt idx="1">
                  <c:v>18.399999999999999</c:v>
                </c:pt>
                <c:pt idx="2">
                  <c:v>20.8</c:v>
                </c:pt>
                <c:pt idx="3">
                  <c:v>23.2</c:v>
                </c:pt>
                <c:pt idx="4">
                  <c:v>25.6</c:v>
                </c:pt>
                <c:pt idx="5">
                  <c:v>28</c:v>
                </c:pt>
                <c:pt idx="6">
                  <c:v>30.4</c:v>
                </c:pt>
                <c:pt idx="7">
                  <c:v>33.44</c:v>
                </c:pt>
                <c:pt idx="8">
                  <c:v>36.479999999999997</c:v>
                </c:pt>
                <c:pt idx="9">
                  <c:v>39.520000000000003</c:v>
                </c:pt>
                <c:pt idx="10">
                  <c:v>42.56</c:v>
                </c:pt>
                <c:pt idx="11">
                  <c:v>45.6</c:v>
                </c:pt>
                <c:pt idx="12">
                  <c:v>43.32</c:v>
                </c:pt>
                <c:pt idx="13">
                  <c:v>41.04</c:v>
                </c:pt>
                <c:pt idx="14">
                  <c:v>38.76</c:v>
                </c:pt>
                <c:pt idx="15">
                  <c:v>36.479999999999997</c:v>
                </c:pt>
                <c:pt idx="16">
                  <c:v>34.200000000000003</c:v>
                </c:pt>
                <c:pt idx="17">
                  <c:v>35.06</c:v>
                </c:pt>
                <c:pt idx="18">
                  <c:v>35.909999999999997</c:v>
                </c:pt>
                <c:pt idx="19">
                  <c:v>36.770000000000003</c:v>
                </c:pt>
                <c:pt idx="20">
                  <c:v>37.619999999999997</c:v>
                </c:pt>
                <c:pt idx="21">
                  <c:v>38.479999999999997</c:v>
                </c:pt>
                <c:pt idx="22">
                  <c:v>39.33</c:v>
                </c:pt>
                <c:pt idx="23">
                  <c:v>40.19</c:v>
                </c:pt>
                <c:pt idx="24">
                  <c:v>41.04</c:v>
                </c:pt>
                <c:pt idx="25">
                  <c:v>41.9</c:v>
                </c:pt>
                <c:pt idx="26">
                  <c:v>42.75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76F-4899-B72D-9B7EC70AC787}"/>
            </c:ext>
          </c:extLst>
        </c:ser>
        <c:ser>
          <c:idx val="6"/>
          <c:order val="6"/>
          <c:tx>
            <c:strRef>
              <c:f>ICIS!$H$1</c:f>
              <c:strCache>
                <c:ptCount val="1"/>
                <c:pt idx="0">
                  <c:v>ICIS (Pessimistic- End)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ICIS!$A$2:$A$28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ICIS!$H$2:$H$28</c:f>
              <c:numCache>
                <c:formatCode>General</c:formatCode>
                <c:ptCount val="27"/>
                <c:pt idx="0">
                  <c:v>16</c:v>
                </c:pt>
                <c:pt idx="1">
                  <c:v>18.399999999999999</c:v>
                </c:pt>
                <c:pt idx="2">
                  <c:v>20.8</c:v>
                </c:pt>
                <c:pt idx="3">
                  <c:v>23.2</c:v>
                </c:pt>
                <c:pt idx="4">
                  <c:v>25.6</c:v>
                </c:pt>
                <c:pt idx="5">
                  <c:v>28</c:v>
                </c:pt>
                <c:pt idx="6">
                  <c:v>30.4</c:v>
                </c:pt>
                <c:pt idx="7">
                  <c:v>33.44</c:v>
                </c:pt>
                <c:pt idx="8">
                  <c:v>36.479999999999997</c:v>
                </c:pt>
                <c:pt idx="9">
                  <c:v>39.520000000000003</c:v>
                </c:pt>
                <c:pt idx="10">
                  <c:v>42.56</c:v>
                </c:pt>
                <c:pt idx="11">
                  <c:v>45.6</c:v>
                </c:pt>
                <c:pt idx="12">
                  <c:v>47.88</c:v>
                </c:pt>
                <c:pt idx="13">
                  <c:v>50.16</c:v>
                </c:pt>
                <c:pt idx="14">
                  <c:v>52.44</c:v>
                </c:pt>
                <c:pt idx="15">
                  <c:v>54.72</c:v>
                </c:pt>
                <c:pt idx="16">
                  <c:v>57</c:v>
                </c:pt>
                <c:pt idx="17">
                  <c:v>55.58</c:v>
                </c:pt>
                <c:pt idx="18">
                  <c:v>54.15</c:v>
                </c:pt>
                <c:pt idx="19">
                  <c:v>52.73</c:v>
                </c:pt>
                <c:pt idx="20">
                  <c:v>51.3</c:v>
                </c:pt>
                <c:pt idx="21">
                  <c:v>49.88</c:v>
                </c:pt>
                <c:pt idx="22">
                  <c:v>50.5</c:v>
                </c:pt>
                <c:pt idx="23">
                  <c:v>51.13</c:v>
                </c:pt>
                <c:pt idx="24">
                  <c:v>51.75</c:v>
                </c:pt>
                <c:pt idx="25">
                  <c:v>52.37</c:v>
                </c:pt>
                <c:pt idx="26">
                  <c:v>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76F-4899-B72D-9B7EC70AC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57424"/>
        <c:axId val="149356464"/>
      </c:scatterChart>
      <c:valAx>
        <c:axId val="14935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6464"/>
        <c:crosses val="autoZero"/>
        <c:crossBetween val="midCat"/>
      </c:valAx>
      <c:valAx>
        <c:axId val="14935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57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Capacity</a:t>
            </a:r>
            <a:r>
              <a:rPr lang="en-GB" baseline="0"/>
              <a:t> </a:t>
            </a:r>
            <a:r>
              <a:rPr lang="en-GB"/>
              <a:t>McKinsey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McKinsey!$B$1</c:f>
              <c:strCache>
                <c:ptCount val="1"/>
                <c:pt idx="0">
                  <c:v>McKinsey (Base)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McKinsey!$A$2:$A$28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McKinsey!$B$2:$B$28</c:f>
              <c:numCache>
                <c:formatCode>General</c:formatCode>
                <c:ptCount val="27"/>
                <c:pt idx="0">
                  <c:v>16</c:v>
                </c:pt>
                <c:pt idx="1">
                  <c:v>19.2</c:v>
                </c:pt>
                <c:pt idx="2">
                  <c:v>22.4</c:v>
                </c:pt>
                <c:pt idx="3">
                  <c:v>25.6</c:v>
                </c:pt>
                <c:pt idx="4">
                  <c:v>28.8</c:v>
                </c:pt>
                <c:pt idx="5">
                  <c:v>32</c:v>
                </c:pt>
                <c:pt idx="6">
                  <c:v>35.200000000000003</c:v>
                </c:pt>
                <c:pt idx="7">
                  <c:v>40.479999999999997</c:v>
                </c:pt>
                <c:pt idx="8">
                  <c:v>45.76</c:v>
                </c:pt>
                <c:pt idx="9">
                  <c:v>51.04</c:v>
                </c:pt>
                <c:pt idx="10">
                  <c:v>56.32</c:v>
                </c:pt>
                <c:pt idx="11">
                  <c:v>61.6</c:v>
                </c:pt>
                <c:pt idx="12">
                  <c:v>66.22</c:v>
                </c:pt>
                <c:pt idx="13">
                  <c:v>70.84</c:v>
                </c:pt>
                <c:pt idx="14">
                  <c:v>75.459999999999994</c:v>
                </c:pt>
                <c:pt idx="15">
                  <c:v>80.08</c:v>
                </c:pt>
                <c:pt idx="16">
                  <c:v>84.7</c:v>
                </c:pt>
                <c:pt idx="17">
                  <c:v>87.88</c:v>
                </c:pt>
                <c:pt idx="18">
                  <c:v>91.05</c:v>
                </c:pt>
                <c:pt idx="19">
                  <c:v>94.23</c:v>
                </c:pt>
                <c:pt idx="20">
                  <c:v>97.41</c:v>
                </c:pt>
                <c:pt idx="21">
                  <c:v>100.58</c:v>
                </c:pt>
                <c:pt idx="22">
                  <c:v>103.76</c:v>
                </c:pt>
                <c:pt idx="23">
                  <c:v>106.93</c:v>
                </c:pt>
                <c:pt idx="24">
                  <c:v>110.11</c:v>
                </c:pt>
                <c:pt idx="25">
                  <c:v>113.29</c:v>
                </c:pt>
                <c:pt idx="26">
                  <c:v>116.46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55-444A-BB0C-3A9161915410}"/>
            </c:ext>
          </c:extLst>
        </c:ser>
        <c:ser>
          <c:idx val="1"/>
          <c:order val="1"/>
          <c:tx>
            <c:strRef>
              <c:f>McKinsey!$C$1</c:f>
              <c:strCache>
                <c:ptCount val="1"/>
                <c:pt idx="0">
                  <c:v>McKinsey (Lift-Off)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McKinsey!$A$2:$A$28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McKinsey!$C$2:$C$28</c:f>
              <c:numCache>
                <c:formatCode>General</c:formatCode>
                <c:ptCount val="27"/>
                <c:pt idx="0">
                  <c:v>16</c:v>
                </c:pt>
                <c:pt idx="1">
                  <c:v>21.25</c:v>
                </c:pt>
                <c:pt idx="2">
                  <c:v>26.51</c:v>
                </c:pt>
                <c:pt idx="3">
                  <c:v>31.76</c:v>
                </c:pt>
                <c:pt idx="4">
                  <c:v>37.01</c:v>
                </c:pt>
                <c:pt idx="5">
                  <c:v>42.27</c:v>
                </c:pt>
                <c:pt idx="6">
                  <c:v>47.52</c:v>
                </c:pt>
                <c:pt idx="7">
                  <c:v>55.98</c:v>
                </c:pt>
                <c:pt idx="8">
                  <c:v>64.44</c:v>
                </c:pt>
                <c:pt idx="9">
                  <c:v>72.900000000000006</c:v>
                </c:pt>
                <c:pt idx="10">
                  <c:v>81.349999999999994</c:v>
                </c:pt>
                <c:pt idx="11">
                  <c:v>89.81</c:v>
                </c:pt>
                <c:pt idx="12">
                  <c:v>97.8</c:v>
                </c:pt>
                <c:pt idx="13">
                  <c:v>105.8</c:v>
                </c:pt>
                <c:pt idx="14">
                  <c:v>113.79</c:v>
                </c:pt>
                <c:pt idx="15">
                  <c:v>121.78</c:v>
                </c:pt>
                <c:pt idx="16">
                  <c:v>129.78</c:v>
                </c:pt>
                <c:pt idx="17">
                  <c:v>135.56</c:v>
                </c:pt>
                <c:pt idx="18">
                  <c:v>141.33000000000001</c:v>
                </c:pt>
                <c:pt idx="19">
                  <c:v>147.11000000000001</c:v>
                </c:pt>
                <c:pt idx="20">
                  <c:v>152.88</c:v>
                </c:pt>
                <c:pt idx="21">
                  <c:v>158.66</c:v>
                </c:pt>
                <c:pt idx="22">
                  <c:v>164.43</c:v>
                </c:pt>
                <c:pt idx="23">
                  <c:v>170.21</c:v>
                </c:pt>
                <c:pt idx="24">
                  <c:v>175.98</c:v>
                </c:pt>
                <c:pt idx="25">
                  <c:v>181.76</c:v>
                </c:pt>
                <c:pt idx="26">
                  <c:v>187.53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55-444A-BB0C-3A9161915410}"/>
            </c:ext>
          </c:extLst>
        </c:ser>
        <c:ser>
          <c:idx val="2"/>
          <c:order val="2"/>
          <c:tx>
            <c:strRef>
              <c:f>McKinsey!$D$1</c:f>
              <c:strCache>
                <c:ptCount val="1"/>
                <c:pt idx="0">
                  <c:v>McKinsey (High-Efficiency)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McKinsey!$A$2:$A$28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McKinsey!$D$2:$D$28</c:f>
              <c:numCache>
                <c:formatCode>General</c:formatCode>
                <c:ptCount val="27"/>
                <c:pt idx="0">
                  <c:v>16</c:v>
                </c:pt>
                <c:pt idx="1">
                  <c:v>18.14</c:v>
                </c:pt>
                <c:pt idx="2">
                  <c:v>20.27</c:v>
                </c:pt>
                <c:pt idx="3">
                  <c:v>22.41</c:v>
                </c:pt>
                <c:pt idx="4">
                  <c:v>24.54</c:v>
                </c:pt>
                <c:pt idx="5">
                  <c:v>26.68</c:v>
                </c:pt>
                <c:pt idx="6">
                  <c:v>28.81</c:v>
                </c:pt>
                <c:pt idx="7">
                  <c:v>32.880000000000003</c:v>
                </c:pt>
                <c:pt idx="8">
                  <c:v>36.950000000000003</c:v>
                </c:pt>
                <c:pt idx="9">
                  <c:v>41.02</c:v>
                </c:pt>
                <c:pt idx="10">
                  <c:v>45.09</c:v>
                </c:pt>
                <c:pt idx="11">
                  <c:v>49.16</c:v>
                </c:pt>
                <c:pt idx="12">
                  <c:v>52.63</c:v>
                </c:pt>
                <c:pt idx="13">
                  <c:v>56.1</c:v>
                </c:pt>
                <c:pt idx="14">
                  <c:v>59.58</c:v>
                </c:pt>
                <c:pt idx="15">
                  <c:v>63.05</c:v>
                </c:pt>
                <c:pt idx="16">
                  <c:v>66.52</c:v>
                </c:pt>
                <c:pt idx="17">
                  <c:v>68.87</c:v>
                </c:pt>
                <c:pt idx="18">
                  <c:v>71.22</c:v>
                </c:pt>
                <c:pt idx="19">
                  <c:v>73.569999999999993</c:v>
                </c:pt>
                <c:pt idx="20">
                  <c:v>75.92</c:v>
                </c:pt>
                <c:pt idx="21">
                  <c:v>78.260000000000005</c:v>
                </c:pt>
                <c:pt idx="22">
                  <c:v>80.61</c:v>
                </c:pt>
                <c:pt idx="23">
                  <c:v>82.96</c:v>
                </c:pt>
                <c:pt idx="24">
                  <c:v>85.31</c:v>
                </c:pt>
                <c:pt idx="25">
                  <c:v>87.66</c:v>
                </c:pt>
                <c:pt idx="26">
                  <c:v>90.01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55-444A-BB0C-3A9161915410}"/>
            </c:ext>
          </c:extLst>
        </c:ser>
        <c:ser>
          <c:idx val="3"/>
          <c:order val="3"/>
          <c:tx>
            <c:strRef>
              <c:f>McKinsey!$E$1</c:f>
              <c:strCache>
                <c:ptCount val="1"/>
                <c:pt idx="0">
                  <c:v>McKinsey (Headwinds)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McKinsey!$A$2:$A$28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McKinsey!$E$2:$E$28</c:f>
              <c:numCache>
                <c:formatCode>General</c:formatCode>
                <c:ptCount val="27"/>
                <c:pt idx="0">
                  <c:v>16</c:v>
                </c:pt>
                <c:pt idx="1">
                  <c:v>17.440000000000001</c:v>
                </c:pt>
                <c:pt idx="2">
                  <c:v>18.88</c:v>
                </c:pt>
                <c:pt idx="3">
                  <c:v>20.32</c:v>
                </c:pt>
                <c:pt idx="4">
                  <c:v>21.76</c:v>
                </c:pt>
                <c:pt idx="5">
                  <c:v>23.2</c:v>
                </c:pt>
                <c:pt idx="6">
                  <c:v>24.64</c:v>
                </c:pt>
                <c:pt idx="7">
                  <c:v>26.83</c:v>
                </c:pt>
                <c:pt idx="8">
                  <c:v>29.03</c:v>
                </c:pt>
                <c:pt idx="9">
                  <c:v>31.22</c:v>
                </c:pt>
                <c:pt idx="10">
                  <c:v>33.409999999999997</c:v>
                </c:pt>
                <c:pt idx="11">
                  <c:v>35.6</c:v>
                </c:pt>
                <c:pt idx="12">
                  <c:v>37.18</c:v>
                </c:pt>
                <c:pt idx="13">
                  <c:v>38.770000000000003</c:v>
                </c:pt>
                <c:pt idx="14">
                  <c:v>40.35</c:v>
                </c:pt>
                <c:pt idx="15">
                  <c:v>41.94</c:v>
                </c:pt>
                <c:pt idx="16">
                  <c:v>43.52</c:v>
                </c:pt>
                <c:pt idx="17">
                  <c:v>44.49</c:v>
                </c:pt>
                <c:pt idx="18">
                  <c:v>45.46</c:v>
                </c:pt>
                <c:pt idx="19">
                  <c:v>46.42</c:v>
                </c:pt>
                <c:pt idx="20">
                  <c:v>47.39</c:v>
                </c:pt>
                <c:pt idx="21">
                  <c:v>48.36</c:v>
                </c:pt>
                <c:pt idx="22">
                  <c:v>49.33</c:v>
                </c:pt>
                <c:pt idx="23">
                  <c:v>50.3</c:v>
                </c:pt>
                <c:pt idx="24">
                  <c:v>51.27</c:v>
                </c:pt>
                <c:pt idx="25">
                  <c:v>52.23</c:v>
                </c:pt>
                <c:pt idx="26">
                  <c:v>53.2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55-444A-BB0C-3A9161915410}"/>
            </c:ext>
          </c:extLst>
        </c:ser>
        <c:ser>
          <c:idx val="4"/>
          <c:order val="4"/>
          <c:tx>
            <c:strRef>
              <c:f>McKinsey!$F$1</c:f>
              <c:strCache>
                <c:ptCount val="1"/>
                <c:pt idx="0">
                  <c:v>McKinsey (Pessimistic- Deflation)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McKinsey!$A$2:$A$28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McKinsey!$F$2:$F$28</c:f>
              <c:numCache>
                <c:formatCode>General</c:formatCode>
                <c:ptCount val="27"/>
                <c:pt idx="0">
                  <c:v>16</c:v>
                </c:pt>
                <c:pt idx="1">
                  <c:v>19.2</c:v>
                </c:pt>
                <c:pt idx="2">
                  <c:v>22.4</c:v>
                </c:pt>
                <c:pt idx="3">
                  <c:v>25.6</c:v>
                </c:pt>
                <c:pt idx="4">
                  <c:v>28.8</c:v>
                </c:pt>
                <c:pt idx="5">
                  <c:v>32</c:v>
                </c:pt>
                <c:pt idx="6">
                  <c:v>35.200000000000003</c:v>
                </c:pt>
                <c:pt idx="7">
                  <c:v>38.72</c:v>
                </c:pt>
                <c:pt idx="8">
                  <c:v>42.24</c:v>
                </c:pt>
                <c:pt idx="9">
                  <c:v>45.76</c:v>
                </c:pt>
                <c:pt idx="10">
                  <c:v>49.28</c:v>
                </c:pt>
                <c:pt idx="11">
                  <c:v>52.8</c:v>
                </c:pt>
                <c:pt idx="12">
                  <c:v>50.16</c:v>
                </c:pt>
                <c:pt idx="13">
                  <c:v>47.52</c:v>
                </c:pt>
                <c:pt idx="14">
                  <c:v>44.88</c:v>
                </c:pt>
                <c:pt idx="15">
                  <c:v>42.24</c:v>
                </c:pt>
                <c:pt idx="16">
                  <c:v>39.6</c:v>
                </c:pt>
                <c:pt idx="17">
                  <c:v>36.96</c:v>
                </c:pt>
                <c:pt idx="18">
                  <c:v>34.32</c:v>
                </c:pt>
                <c:pt idx="19">
                  <c:v>31.68</c:v>
                </c:pt>
                <c:pt idx="20">
                  <c:v>29.04</c:v>
                </c:pt>
                <c:pt idx="21">
                  <c:v>26.4</c:v>
                </c:pt>
                <c:pt idx="22">
                  <c:v>27.06</c:v>
                </c:pt>
                <c:pt idx="23">
                  <c:v>27.72</c:v>
                </c:pt>
                <c:pt idx="24">
                  <c:v>28.38</c:v>
                </c:pt>
                <c:pt idx="25">
                  <c:v>29.04</c:v>
                </c:pt>
                <c:pt idx="26">
                  <c:v>29.7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55-444A-BB0C-3A9161915410}"/>
            </c:ext>
          </c:extLst>
        </c:ser>
        <c:ser>
          <c:idx val="5"/>
          <c:order val="5"/>
          <c:tx>
            <c:strRef>
              <c:f>McKinsey!$G$1</c:f>
              <c:strCache>
                <c:ptCount val="1"/>
                <c:pt idx="0">
                  <c:v>McKinsey (Pessimistic- Med)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McKinsey!$A$2:$A$28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McKinsey!$G$2:$G$28</c:f>
              <c:numCache>
                <c:formatCode>General</c:formatCode>
                <c:ptCount val="27"/>
                <c:pt idx="0">
                  <c:v>16</c:v>
                </c:pt>
                <c:pt idx="1">
                  <c:v>19.2</c:v>
                </c:pt>
                <c:pt idx="2">
                  <c:v>22.4</c:v>
                </c:pt>
                <c:pt idx="3">
                  <c:v>25.6</c:v>
                </c:pt>
                <c:pt idx="4">
                  <c:v>28.8</c:v>
                </c:pt>
                <c:pt idx="5">
                  <c:v>32</c:v>
                </c:pt>
                <c:pt idx="6">
                  <c:v>35.200000000000003</c:v>
                </c:pt>
                <c:pt idx="7">
                  <c:v>40.479999999999997</c:v>
                </c:pt>
                <c:pt idx="8">
                  <c:v>45.76</c:v>
                </c:pt>
                <c:pt idx="9">
                  <c:v>51.04</c:v>
                </c:pt>
                <c:pt idx="10">
                  <c:v>56.32</c:v>
                </c:pt>
                <c:pt idx="11">
                  <c:v>61.6</c:v>
                </c:pt>
                <c:pt idx="12">
                  <c:v>56.98</c:v>
                </c:pt>
                <c:pt idx="13">
                  <c:v>52.36</c:v>
                </c:pt>
                <c:pt idx="14">
                  <c:v>47.74</c:v>
                </c:pt>
                <c:pt idx="15">
                  <c:v>43.12</c:v>
                </c:pt>
                <c:pt idx="16">
                  <c:v>38.5</c:v>
                </c:pt>
                <c:pt idx="17">
                  <c:v>39.94</c:v>
                </c:pt>
                <c:pt idx="18">
                  <c:v>41.39</c:v>
                </c:pt>
                <c:pt idx="19">
                  <c:v>42.83</c:v>
                </c:pt>
                <c:pt idx="20">
                  <c:v>44.28</c:v>
                </c:pt>
                <c:pt idx="21">
                  <c:v>45.72</c:v>
                </c:pt>
                <c:pt idx="22">
                  <c:v>47.16</c:v>
                </c:pt>
                <c:pt idx="23">
                  <c:v>48.61</c:v>
                </c:pt>
                <c:pt idx="24">
                  <c:v>50.05</c:v>
                </c:pt>
                <c:pt idx="25">
                  <c:v>51.49</c:v>
                </c:pt>
                <c:pt idx="26">
                  <c:v>52.94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55-444A-BB0C-3A9161915410}"/>
            </c:ext>
          </c:extLst>
        </c:ser>
        <c:ser>
          <c:idx val="6"/>
          <c:order val="6"/>
          <c:tx>
            <c:strRef>
              <c:f>McKinsey!$H$1</c:f>
              <c:strCache>
                <c:ptCount val="1"/>
                <c:pt idx="0">
                  <c:v>McKinsey (Pessimistic- End)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McKinsey!$A$2:$A$28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xVal>
          <c:yVal>
            <c:numRef>
              <c:f>McKinsey!$H$2:$H$28</c:f>
              <c:numCache>
                <c:formatCode>General</c:formatCode>
                <c:ptCount val="27"/>
                <c:pt idx="0">
                  <c:v>16</c:v>
                </c:pt>
                <c:pt idx="1">
                  <c:v>19.2</c:v>
                </c:pt>
                <c:pt idx="2">
                  <c:v>22.4</c:v>
                </c:pt>
                <c:pt idx="3">
                  <c:v>25.6</c:v>
                </c:pt>
                <c:pt idx="4">
                  <c:v>28.8</c:v>
                </c:pt>
                <c:pt idx="5">
                  <c:v>32</c:v>
                </c:pt>
                <c:pt idx="6">
                  <c:v>35.200000000000003</c:v>
                </c:pt>
                <c:pt idx="7">
                  <c:v>40.479999999999997</c:v>
                </c:pt>
                <c:pt idx="8">
                  <c:v>45.76</c:v>
                </c:pt>
                <c:pt idx="9">
                  <c:v>51.04</c:v>
                </c:pt>
                <c:pt idx="10">
                  <c:v>56.32</c:v>
                </c:pt>
                <c:pt idx="11">
                  <c:v>61.6</c:v>
                </c:pt>
                <c:pt idx="12">
                  <c:v>66.22</c:v>
                </c:pt>
                <c:pt idx="13">
                  <c:v>70.84</c:v>
                </c:pt>
                <c:pt idx="14">
                  <c:v>75.459999999999994</c:v>
                </c:pt>
                <c:pt idx="15">
                  <c:v>80.08</c:v>
                </c:pt>
                <c:pt idx="16">
                  <c:v>84.7</c:v>
                </c:pt>
                <c:pt idx="17">
                  <c:v>81.52</c:v>
                </c:pt>
                <c:pt idx="18">
                  <c:v>78.349999999999994</c:v>
                </c:pt>
                <c:pt idx="19">
                  <c:v>75.17</c:v>
                </c:pt>
                <c:pt idx="20">
                  <c:v>72</c:v>
                </c:pt>
                <c:pt idx="21">
                  <c:v>68.819999999999993</c:v>
                </c:pt>
                <c:pt idx="22">
                  <c:v>70.11</c:v>
                </c:pt>
                <c:pt idx="23">
                  <c:v>71.400000000000006</c:v>
                </c:pt>
                <c:pt idx="24">
                  <c:v>72.69</c:v>
                </c:pt>
                <c:pt idx="25">
                  <c:v>73.98</c:v>
                </c:pt>
                <c:pt idx="26">
                  <c:v>75.27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C55-444A-BB0C-3A9161915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89808"/>
        <c:axId val="77490288"/>
      </c:scatterChart>
      <c:valAx>
        <c:axId val="7748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0288"/>
        <c:crosses val="autoZero"/>
        <c:crossBetween val="midCat"/>
      </c:valAx>
      <c:valAx>
        <c:axId val="7749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8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886416</xdr:colOff>
      <xdr:row>1</xdr:row>
      <xdr:rowOff>83832</xdr:rowOff>
    </xdr:from>
    <xdr:to>
      <xdr:col>19</xdr:col>
      <xdr:colOff>139474</xdr:colOff>
      <xdr:row>32</xdr:row>
      <xdr:rowOff>103961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CC659-3825-C3C7-9ADA-12391EF66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392852</xdr:colOff>
      <xdr:row>4</xdr:row>
      <xdr:rowOff>180766</xdr:rowOff>
    </xdr:from>
    <xdr:to>
      <xdr:col>16</xdr:col>
      <xdr:colOff>567267</xdr:colOff>
      <xdr:row>32</xdr:row>
      <xdr:rowOff>16937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C94C3A-56C0-C06E-E2B7-64D8726A6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1207348</xdr:colOff>
      <xdr:row>7</xdr:row>
      <xdr:rowOff>46143</xdr:rowOff>
    </xdr:from>
    <xdr:to>
      <xdr:col>18</xdr:col>
      <xdr:colOff>838200</xdr:colOff>
      <xdr:row>32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245DD4-FB40-7C8D-57D8-E37EA0124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2</xdr:row>
      <xdr:rowOff>102870</xdr:rowOff>
    </xdr:from>
    <xdr:to>
      <xdr:col>8</xdr:col>
      <xdr:colOff>320040</xdr:colOff>
      <xdr:row>27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953BD1-025C-5F72-DB39-A3FF19105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87C6-716E-4BAC-AF4B-34D2E601BE70}">
  <dimension ref="A1:AL31"/>
  <sheetViews>
    <sheetView zoomScale="90" zoomScaleNormal="90" workbookViewId="0">
      <pane xSplit="1" topLeftCell="B1" activePane="topRight" state="frozen"/>
      <selection pane="topRight" activeCell="AE9" sqref="AE9"/>
    </sheetView>
  </sheetViews>
  <sheetFormatPr defaultRowHeight="14.4" x14ac:dyDescent="0.3"/>
  <cols>
    <col min="2" max="2" width="19.109375" bestFit="1" customWidth="1"/>
    <col min="3" max="3" width="19.5546875" bestFit="1" customWidth="1"/>
    <col min="4" max="4" width="24.88671875" bestFit="1" customWidth="1"/>
    <col min="5" max="5" width="31.109375" bestFit="1" customWidth="1"/>
    <col min="6" max="6" width="29.109375" bestFit="1" customWidth="1"/>
    <col min="7" max="7" width="21" bestFit="1" customWidth="1"/>
    <col min="8" max="8" width="31.109375" bestFit="1" customWidth="1"/>
    <col min="9" max="9" width="31.109375" customWidth="1"/>
    <col min="10" max="10" width="33.88671875" bestFit="1" customWidth="1"/>
    <col min="11" max="11" width="29.5546875" bestFit="1" customWidth="1"/>
    <col min="12" max="12" width="22.33203125" customWidth="1"/>
    <col min="13" max="13" width="28.5546875" bestFit="1" customWidth="1"/>
    <col min="14" max="14" width="39.21875" customWidth="1"/>
    <col min="15" max="15" width="35.6640625" bestFit="1" customWidth="1"/>
    <col min="16" max="16" width="26.88671875" customWidth="1"/>
    <col min="17" max="17" width="28.5546875" bestFit="1" customWidth="1"/>
    <col min="22" max="22" width="6.88671875" customWidth="1"/>
    <col min="23" max="23" width="9.109375" hidden="1" customWidth="1"/>
    <col min="25" max="25" width="11.109375" bestFit="1" customWidth="1"/>
    <col min="26" max="26" width="15.44140625" bestFit="1" customWidth="1"/>
    <col min="27" max="27" width="25.21875" bestFit="1" customWidth="1"/>
    <col min="28" max="28" width="21.88671875" customWidth="1"/>
    <col min="29" max="29" width="12" bestFit="1" customWidth="1"/>
    <col min="30" max="30" width="18.77734375" bestFit="1" customWidth="1"/>
    <col min="31" max="31" width="26.33203125" bestFit="1" customWidth="1"/>
    <col min="32" max="32" width="21" bestFit="1" customWidth="1"/>
    <col min="33" max="33" width="11.88671875" bestFit="1" customWidth="1"/>
    <col min="34" max="34" width="19.44140625" bestFit="1" customWidth="1"/>
    <col min="35" max="35" width="31.6640625" bestFit="1" customWidth="1"/>
    <col min="36" max="36" width="27.109375" bestFit="1" customWidth="1"/>
    <col min="37" max="37" width="17.109375" bestFit="1" customWidth="1"/>
    <col min="38" max="38" width="24.21875" bestFit="1" customWidth="1"/>
  </cols>
  <sheetData>
    <row r="1" spans="1:38" x14ac:dyDescent="0.3">
      <c r="A1" t="s">
        <v>0</v>
      </c>
      <c r="B1" t="s">
        <v>2</v>
      </c>
      <c r="C1" t="s">
        <v>6</v>
      </c>
      <c r="D1" t="s">
        <v>7</v>
      </c>
      <c r="E1" t="s">
        <v>10</v>
      </c>
      <c r="F1" t="s">
        <v>19</v>
      </c>
      <c r="G1" t="s">
        <v>13</v>
      </c>
      <c r="H1" t="s">
        <v>14</v>
      </c>
      <c r="J1" t="s">
        <v>16</v>
      </c>
      <c r="K1" t="s">
        <v>18</v>
      </c>
      <c r="L1" t="s">
        <v>21</v>
      </c>
      <c r="M1" t="s">
        <v>23</v>
      </c>
      <c r="N1" t="s">
        <v>28</v>
      </c>
      <c r="O1" t="s">
        <v>29</v>
      </c>
      <c r="P1" t="s">
        <v>30</v>
      </c>
      <c r="Q1" t="s">
        <v>31</v>
      </c>
      <c r="X1" s="24" t="s">
        <v>1</v>
      </c>
      <c r="Y1" s="24"/>
      <c r="Z1" s="24"/>
      <c r="AA1" s="24"/>
      <c r="AB1" s="24"/>
    </row>
    <row r="2" spans="1:38" x14ac:dyDescent="0.3">
      <c r="A2">
        <v>2024</v>
      </c>
      <c r="B2">
        <v>16</v>
      </c>
      <c r="C2">
        <v>16</v>
      </c>
      <c r="D2">
        <v>16</v>
      </c>
      <c r="E2">
        <v>16</v>
      </c>
      <c r="F2">
        <v>16</v>
      </c>
      <c r="G2">
        <v>16</v>
      </c>
      <c r="H2">
        <v>16</v>
      </c>
      <c r="J2">
        <v>16</v>
      </c>
      <c r="K2">
        <v>16</v>
      </c>
      <c r="L2">
        <v>16</v>
      </c>
      <c r="M2">
        <v>16</v>
      </c>
      <c r="N2">
        <v>16</v>
      </c>
      <c r="O2">
        <v>16</v>
      </c>
      <c r="P2">
        <v>16</v>
      </c>
      <c r="Q2">
        <v>16</v>
      </c>
      <c r="X2" t="s">
        <v>3</v>
      </c>
      <c r="Y2" t="s">
        <v>4</v>
      </c>
      <c r="Z2" t="s">
        <v>5</v>
      </c>
      <c r="AA2" t="s">
        <v>8</v>
      </c>
      <c r="AB2" t="s">
        <v>9</v>
      </c>
      <c r="AC2" t="s">
        <v>11</v>
      </c>
      <c r="AD2" t="s">
        <v>12</v>
      </c>
      <c r="AE2" t="s">
        <v>15</v>
      </c>
      <c r="AF2" t="s">
        <v>17</v>
      </c>
      <c r="AG2" t="s">
        <v>20</v>
      </c>
      <c r="AH2" t="s">
        <v>22</v>
      </c>
      <c r="AI2" t="s">
        <v>24</v>
      </c>
      <c r="AJ2" t="s">
        <v>25</v>
      </c>
      <c r="AK2" t="s">
        <v>26</v>
      </c>
      <c r="AL2" t="s">
        <v>27</v>
      </c>
    </row>
    <row r="3" spans="1:38" x14ac:dyDescent="0.3">
      <c r="A3">
        <v>2025</v>
      </c>
      <c r="B3">
        <f t="shared" ref="B3:B8" si="0">ROUND($B$2*(1+X3*(A3-$A$2)), 2)</f>
        <v>17.829999999999998</v>
      </c>
      <c r="C3">
        <f>ROUND($C$2*(1+Y3*(A3-$A$2)), 2)</f>
        <v>18.399999999999999</v>
      </c>
      <c r="D3">
        <f t="shared" ref="D3:D8" si="1">ROUND($C$2*(1+Z3*(A3-$A$2)), 2)</f>
        <v>19.2</v>
      </c>
      <c r="E3">
        <f t="shared" ref="E3:E8" si="2">ROUND($E$2*(1+AA3*(A3-$A$2)), 2)</f>
        <v>17.829999999999998</v>
      </c>
      <c r="F3">
        <f t="shared" ref="F3:F8" si="3">ROUND($F$2*(1+AB3*(A3-$A$2)), 2)</f>
        <v>17.829999999999998</v>
      </c>
      <c r="G3">
        <v>19.36</v>
      </c>
      <c r="H3">
        <f t="shared" ref="H3:H8" si="4">ROUND($H$2*(1+AD3*(A3-$A$2)), 2)</f>
        <v>17.829999999999998</v>
      </c>
      <c r="J3">
        <f t="shared" ref="J3:J8" si="5">ROUND($J$2*(1+AE3*(A3-$A$2)), 2)</f>
        <v>18.399999999999999</v>
      </c>
      <c r="K3">
        <f t="shared" ref="K3:K8" si="6">ROUND($K$2*(1+AF3*(A3-$A$2)), 2)</f>
        <v>18.399999999999999</v>
      </c>
      <c r="L3">
        <f t="shared" ref="L3:L8" si="7">ROUND($L$2*(1+AG3*(A3-$A$2)), 2)</f>
        <v>18.399999999999999</v>
      </c>
      <c r="M3">
        <f t="shared" ref="M3:M8" si="8">ROUND($M$2*(1+AH3*(A3-$A$2)), 2)</f>
        <v>18.399999999999999</v>
      </c>
      <c r="N3">
        <f t="shared" ref="N3:N8" si="9">ROUND($N$2*(1+AI3*(A3-$A$2)), 2)</f>
        <v>19.2</v>
      </c>
      <c r="O3">
        <f t="shared" ref="O3:O8" si="10">ROUND($O$2*(1+AJ3*(A3-$A$2)), 2)</f>
        <v>19.2</v>
      </c>
      <c r="P3">
        <f t="shared" ref="P3:P8" si="11">ROUND($P$2*(1+AK3*(A3-$A$2)), 2)</f>
        <v>19.2</v>
      </c>
      <c r="Q3">
        <f t="shared" ref="Q3:Q8" si="12">ROUND($Q$2*(1+AL3*(A3-$A$2)), 2)</f>
        <v>19.2</v>
      </c>
      <c r="V3">
        <v>2025</v>
      </c>
      <c r="X3">
        <v>0.11458333333333333</v>
      </c>
      <c r="Y3">
        <v>0.15</v>
      </c>
      <c r="Z3">
        <v>0.2</v>
      </c>
      <c r="AA3">
        <v>0.11458333333333333</v>
      </c>
      <c r="AB3">
        <v>0.11458333333333333</v>
      </c>
      <c r="AC3">
        <v>0.11458333333333333</v>
      </c>
      <c r="AD3">
        <v>0.11458333333333333</v>
      </c>
      <c r="AE3">
        <v>0.15</v>
      </c>
      <c r="AF3">
        <v>0.15</v>
      </c>
      <c r="AG3">
        <v>0.15</v>
      </c>
      <c r="AH3">
        <v>0.15</v>
      </c>
      <c r="AI3">
        <v>0.2</v>
      </c>
      <c r="AJ3">
        <v>0.2</v>
      </c>
      <c r="AK3">
        <v>0.2</v>
      </c>
      <c r="AL3">
        <v>0.2</v>
      </c>
    </row>
    <row r="4" spans="1:38" x14ac:dyDescent="0.3">
      <c r="A4">
        <v>2026</v>
      </c>
      <c r="B4">
        <f t="shared" si="0"/>
        <v>19.670000000000002</v>
      </c>
      <c r="C4">
        <f>ROUND($B$2*(1+Y4*(A4-$A$2)), 2)</f>
        <v>20.8</v>
      </c>
      <c r="D4">
        <f t="shared" si="1"/>
        <v>22.4</v>
      </c>
      <c r="E4">
        <f t="shared" si="2"/>
        <v>19.670000000000002</v>
      </c>
      <c r="F4">
        <f t="shared" si="3"/>
        <v>19.670000000000002</v>
      </c>
      <c r="G4">
        <v>22.73</v>
      </c>
      <c r="H4">
        <f t="shared" si="4"/>
        <v>19.670000000000002</v>
      </c>
      <c r="J4">
        <f t="shared" si="5"/>
        <v>20.8</v>
      </c>
      <c r="K4">
        <f t="shared" si="6"/>
        <v>20.8</v>
      </c>
      <c r="L4">
        <f t="shared" si="7"/>
        <v>20.8</v>
      </c>
      <c r="M4">
        <f t="shared" si="8"/>
        <v>20.8</v>
      </c>
      <c r="N4">
        <f t="shared" si="9"/>
        <v>22.4</v>
      </c>
      <c r="O4">
        <f t="shared" si="10"/>
        <v>22.4</v>
      </c>
      <c r="P4">
        <f t="shared" si="11"/>
        <v>22.4</v>
      </c>
      <c r="Q4">
        <f t="shared" si="12"/>
        <v>22.4</v>
      </c>
      <c r="V4">
        <v>2026</v>
      </c>
      <c r="X4">
        <v>0.11458333333333333</v>
      </c>
      <c r="Y4">
        <v>0.15</v>
      </c>
      <c r="Z4">
        <v>0.2</v>
      </c>
      <c r="AA4">
        <v>0.11458333333333333</v>
      </c>
      <c r="AB4">
        <v>0.11458333333333333</v>
      </c>
      <c r="AC4">
        <v>0.11458333333333333</v>
      </c>
      <c r="AD4">
        <v>0.11458333333333333</v>
      </c>
      <c r="AE4">
        <v>0.15</v>
      </c>
      <c r="AF4">
        <v>0.15</v>
      </c>
      <c r="AG4">
        <v>0.15</v>
      </c>
      <c r="AH4">
        <v>0.15</v>
      </c>
      <c r="AI4">
        <v>0.2</v>
      </c>
      <c r="AJ4">
        <v>0.2</v>
      </c>
      <c r="AK4">
        <v>0.2</v>
      </c>
      <c r="AL4">
        <v>0.2</v>
      </c>
    </row>
    <row r="5" spans="1:38" x14ac:dyDescent="0.3">
      <c r="A5">
        <v>2027</v>
      </c>
      <c r="B5">
        <f t="shared" si="0"/>
        <v>21.5</v>
      </c>
      <c r="C5">
        <f>ROUND($B$2*(1+Y5*(A5-$A$2)), 2)</f>
        <v>23.2</v>
      </c>
      <c r="D5">
        <f t="shared" si="1"/>
        <v>25.6</v>
      </c>
      <c r="E5">
        <f t="shared" si="2"/>
        <v>21.5</v>
      </c>
      <c r="F5">
        <f t="shared" si="3"/>
        <v>21.5</v>
      </c>
      <c r="G5">
        <v>26.09</v>
      </c>
      <c r="H5">
        <f t="shared" si="4"/>
        <v>21.5</v>
      </c>
      <c r="J5">
        <f t="shared" si="5"/>
        <v>23.2</v>
      </c>
      <c r="K5">
        <f t="shared" si="6"/>
        <v>23.2</v>
      </c>
      <c r="L5">
        <f t="shared" si="7"/>
        <v>23.2</v>
      </c>
      <c r="M5">
        <f t="shared" si="8"/>
        <v>23.2</v>
      </c>
      <c r="N5">
        <f t="shared" si="9"/>
        <v>25.6</v>
      </c>
      <c r="O5">
        <f t="shared" si="10"/>
        <v>25.6</v>
      </c>
      <c r="P5">
        <f t="shared" si="11"/>
        <v>25.6</v>
      </c>
      <c r="Q5">
        <f t="shared" si="12"/>
        <v>25.6</v>
      </c>
      <c r="V5">
        <v>2027</v>
      </c>
      <c r="X5">
        <v>0.11458333333333333</v>
      </c>
      <c r="Y5">
        <v>0.15</v>
      </c>
      <c r="Z5">
        <v>0.2</v>
      </c>
      <c r="AA5">
        <v>0.11458333333333333</v>
      </c>
      <c r="AB5">
        <v>0.11458333333333333</v>
      </c>
      <c r="AC5">
        <v>0.11458333333333333</v>
      </c>
      <c r="AD5">
        <v>0.11458333333333333</v>
      </c>
      <c r="AE5">
        <v>0.15</v>
      </c>
      <c r="AF5">
        <v>0.15</v>
      </c>
      <c r="AG5">
        <v>0.15</v>
      </c>
      <c r="AH5">
        <v>0.15</v>
      </c>
      <c r="AI5">
        <v>0.2</v>
      </c>
      <c r="AJ5">
        <v>0.2</v>
      </c>
      <c r="AK5">
        <v>0.2</v>
      </c>
      <c r="AL5">
        <v>0.2</v>
      </c>
    </row>
    <row r="6" spans="1:38" x14ac:dyDescent="0.3">
      <c r="A6">
        <v>2028</v>
      </c>
      <c r="B6">
        <f t="shared" si="0"/>
        <v>23.33</v>
      </c>
      <c r="C6">
        <f>ROUND($B$2*(1+Y6*(A6-$A$2)), 2)</f>
        <v>25.6</v>
      </c>
      <c r="D6">
        <f t="shared" si="1"/>
        <v>28.8</v>
      </c>
      <c r="E6">
        <f t="shared" si="2"/>
        <v>23.33</v>
      </c>
      <c r="F6">
        <f t="shared" si="3"/>
        <v>23.33</v>
      </c>
      <c r="G6">
        <v>29.46</v>
      </c>
      <c r="H6">
        <f t="shared" si="4"/>
        <v>23.33</v>
      </c>
      <c r="J6">
        <f t="shared" si="5"/>
        <v>25.6</v>
      </c>
      <c r="K6">
        <f t="shared" si="6"/>
        <v>25.6</v>
      </c>
      <c r="L6">
        <f t="shared" si="7"/>
        <v>25.6</v>
      </c>
      <c r="M6">
        <f t="shared" si="8"/>
        <v>25.6</v>
      </c>
      <c r="N6">
        <f t="shared" si="9"/>
        <v>28.8</v>
      </c>
      <c r="O6">
        <f t="shared" si="10"/>
        <v>28.8</v>
      </c>
      <c r="P6">
        <f t="shared" si="11"/>
        <v>28.8</v>
      </c>
      <c r="Q6">
        <f t="shared" si="12"/>
        <v>28.8</v>
      </c>
      <c r="V6">
        <v>2028</v>
      </c>
      <c r="X6">
        <v>0.11458333333333333</v>
      </c>
      <c r="Y6">
        <v>0.15</v>
      </c>
      <c r="Z6">
        <v>0.2</v>
      </c>
      <c r="AA6">
        <v>0.11458333333333333</v>
      </c>
      <c r="AB6">
        <v>0.11458333333333333</v>
      </c>
      <c r="AC6">
        <v>0.11458333333333333</v>
      </c>
      <c r="AD6">
        <v>0.11458333333333333</v>
      </c>
      <c r="AE6">
        <v>0.15</v>
      </c>
      <c r="AF6">
        <v>0.15</v>
      </c>
      <c r="AG6">
        <v>0.15</v>
      </c>
      <c r="AH6">
        <v>0.15</v>
      </c>
      <c r="AI6">
        <v>0.2</v>
      </c>
      <c r="AJ6">
        <v>0.2</v>
      </c>
      <c r="AK6">
        <v>0.2</v>
      </c>
      <c r="AL6">
        <v>0.2</v>
      </c>
    </row>
    <row r="7" spans="1:38" x14ac:dyDescent="0.3">
      <c r="A7">
        <v>2029</v>
      </c>
      <c r="B7">
        <f t="shared" si="0"/>
        <v>25.17</v>
      </c>
      <c r="C7">
        <f>ROUND($B$2*(1+Y7*(A7-$A$2)), 2)</f>
        <v>28</v>
      </c>
      <c r="D7">
        <f t="shared" si="1"/>
        <v>32</v>
      </c>
      <c r="E7">
        <f t="shared" si="2"/>
        <v>25.17</v>
      </c>
      <c r="F7">
        <f t="shared" si="3"/>
        <v>25.17</v>
      </c>
      <c r="G7">
        <v>32.82</v>
      </c>
      <c r="H7">
        <f t="shared" si="4"/>
        <v>25.17</v>
      </c>
      <c r="J7">
        <f t="shared" si="5"/>
        <v>28</v>
      </c>
      <c r="K7">
        <f t="shared" si="6"/>
        <v>28</v>
      </c>
      <c r="L7">
        <f t="shared" si="7"/>
        <v>28</v>
      </c>
      <c r="M7">
        <f t="shared" si="8"/>
        <v>28</v>
      </c>
      <c r="N7">
        <f t="shared" si="9"/>
        <v>32</v>
      </c>
      <c r="O7">
        <f t="shared" si="10"/>
        <v>32</v>
      </c>
      <c r="P7">
        <f t="shared" si="11"/>
        <v>32</v>
      </c>
      <c r="Q7">
        <f t="shared" si="12"/>
        <v>32</v>
      </c>
      <c r="V7">
        <v>2029</v>
      </c>
      <c r="X7">
        <v>0.11458333333333333</v>
      </c>
      <c r="Y7">
        <v>0.15</v>
      </c>
      <c r="Z7">
        <v>0.2</v>
      </c>
      <c r="AA7">
        <v>0.11458333333333333</v>
      </c>
      <c r="AB7">
        <v>0.11458333333333333</v>
      </c>
      <c r="AC7">
        <v>0.11458333333333333</v>
      </c>
      <c r="AD7">
        <v>0.11458333333333333</v>
      </c>
      <c r="AE7">
        <v>0.15</v>
      </c>
      <c r="AF7">
        <v>0.15</v>
      </c>
      <c r="AG7">
        <v>0.15</v>
      </c>
      <c r="AH7">
        <v>0.15</v>
      </c>
      <c r="AI7">
        <v>0.2</v>
      </c>
      <c r="AJ7">
        <v>0.2</v>
      </c>
      <c r="AK7">
        <v>0.2</v>
      </c>
      <c r="AL7">
        <v>0.2</v>
      </c>
    </row>
    <row r="8" spans="1:38" x14ac:dyDescent="0.3">
      <c r="A8">
        <v>2030</v>
      </c>
      <c r="B8">
        <f t="shared" si="0"/>
        <v>27</v>
      </c>
      <c r="C8">
        <f>ROUND($B$2*(1+Y8*(A8-$A$2)), 2)</f>
        <v>30.4</v>
      </c>
      <c r="D8">
        <f t="shared" si="1"/>
        <v>35.200000000000003</v>
      </c>
      <c r="E8">
        <f t="shared" si="2"/>
        <v>27</v>
      </c>
      <c r="F8">
        <f t="shared" si="3"/>
        <v>27</v>
      </c>
      <c r="G8">
        <v>36.19</v>
      </c>
      <c r="H8">
        <f t="shared" si="4"/>
        <v>27</v>
      </c>
      <c r="J8">
        <f t="shared" si="5"/>
        <v>30.4</v>
      </c>
      <c r="K8">
        <f t="shared" si="6"/>
        <v>30.4</v>
      </c>
      <c r="L8">
        <f t="shared" si="7"/>
        <v>30.4</v>
      </c>
      <c r="M8">
        <f t="shared" si="8"/>
        <v>30.4</v>
      </c>
      <c r="N8">
        <f t="shared" si="9"/>
        <v>35.200000000000003</v>
      </c>
      <c r="O8">
        <f t="shared" si="10"/>
        <v>35.200000000000003</v>
      </c>
      <c r="P8">
        <f t="shared" si="11"/>
        <v>35.200000000000003</v>
      </c>
      <c r="Q8">
        <f t="shared" si="12"/>
        <v>35.200000000000003</v>
      </c>
      <c r="V8">
        <v>2030</v>
      </c>
      <c r="X8">
        <v>0.11458333333333333</v>
      </c>
      <c r="Y8">
        <v>0.15</v>
      </c>
      <c r="Z8">
        <v>0.2</v>
      </c>
      <c r="AA8">
        <v>0.11458333333333333</v>
      </c>
      <c r="AB8">
        <v>0.11458333333333333</v>
      </c>
      <c r="AC8">
        <v>0.11458333333333333</v>
      </c>
      <c r="AD8">
        <v>0.11458333333333333</v>
      </c>
      <c r="AE8">
        <v>0.15</v>
      </c>
      <c r="AF8">
        <v>0.15</v>
      </c>
      <c r="AG8">
        <v>0.15</v>
      </c>
      <c r="AH8">
        <v>0.15</v>
      </c>
      <c r="AI8">
        <v>0.2</v>
      </c>
      <c r="AJ8">
        <v>0.2</v>
      </c>
      <c r="AK8">
        <v>0.2</v>
      </c>
      <c r="AL8">
        <v>0.2</v>
      </c>
    </row>
    <row r="9" spans="1:38" x14ac:dyDescent="0.3">
      <c r="A9">
        <v>2031</v>
      </c>
      <c r="B9">
        <f>ROUND($B$8*(1+X9*(A9-$A$8)), 2)</f>
        <v>29.7</v>
      </c>
      <c r="C9">
        <f>ROUND($C$8*(1+Y9*(A9-$A$8)), 2)</f>
        <v>33.44</v>
      </c>
      <c r="D9">
        <f>ROUND($D$8*(1+Z9*(A9-$A$8)), 2)</f>
        <v>40.479999999999997</v>
      </c>
      <c r="E9">
        <f>ROUND($E$8*(1+AA9*(A9-$A$8)), 2)</f>
        <v>28.35</v>
      </c>
      <c r="F9">
        <f>ROUND($F$8*(1+AB9*(A9-$A$8)), 2)</f>
        <v>29.7</v>
      </c>
      <c r="G9">
        <v>41.22</v>
      </c>
      <c r="H9">
        <f>ROUND($H$8*(1+AD9*(A9-$A$8)), 2)</f>
        <v>29.35</v>
      </c>
      <c r="J9">
        <f>ROUND($J$8*(1+AE9*(A9-$A$8)), 2)</f>
        <v>32.36</v>
      </c>
      <c r="K9">
        <f>ROUND($K$8*(1+AF9*(A9-$A$8)), 2)</f>
        <v>33.44</v>
      </c>
      <c r="L9">
        <f>ROUND($L$8*(1+AG9*(A9-$A$8)), 2)</f>
        <v>35.08</v>
      </c>
      <c r="M9">
        <f>ROUND($M$8*(1+AH9*(A9-$A$8)), 2)</f>
        <v>32.46</v>
      </c>
      <c r="N9">
        <f>ROUND($N$8*(1+AI9*(A9-$A$8)), 2)</f>
        <v>38.26</v>
      </c>
      <c r="O9">
        <f>ROUND($O$8*(1+AJ9*(A9-$A$8)), 2)</f>
        <v>40.479999999999997</v>
      </c>
      <c r="P9">
        <f>ROUND($P$8*(1+AK9*(A9-$A$8)), 2)</f>
        <v>42.38</v>
      </c>
      <c r="Q9">
        <f>ROUND($Q$8*(1+AL9*(A9-$A$8)), 2)</f>
        <v>39.340000000000003</v>
      </c>
      <c r="V9">
        <v>2031</v>
      </c>
      <c r="X9">
        <v>0.1</v>
      </c>
      <c r="Y9">
        <v>0.1</v>
      </c>
      <c r="Z9">
        <v>0.15</v>
      </c>
      <c r="AA9">
        <v>0.05</v>
      </c>
      <c r="AB9">
        <v>0.1</v>
      </c>
      <c r="AC9">
        <v>0.13900000000000001</v>
      </c>
      <c r="AD9">
        <v>8.6900000000000005E-2</v>
      </c>
      <c r="AE9">
        <v>6.4500000000000002E-2</v>
      </c>
      <c r="AF9">
        <v>0.1</v>
      </c>
      <c r="AG9">
        <v>0.15410000000000001</v>
      </c>
      <c r="AH9">
        <v>6.7600000000000007E-2</v>
      </c>
      <c r="AI9">
        <v>8.6999999999999994E-2</v>
      </c>
      <c r="AJ9">
        <v>0.15</v>
      </c>
      <c r="AK9">
        <f>Z9+0.0541</f>
        <v>0.2041</v>
      </c>
      <c r="AL9">
        <f>Z9-0.0324</f>
        <v>0.1176</v>
      </c>
    </row>
    <row r="10" spans="1:38" x14ac:dyDescent="0.3">
      <c r="A10">
        <v>2032</v>
      </c>
      <c r="B10">
        <f>ROUND($B$8*(1+X10*(A10-$A$8)), 2)</f>
        <v>32.4</v>
      </c>
      <c r="C10">
        <f>ROUND($C$8*(1+Y10*(A10-$A$8)), 2)</f>
        <v>36.479999999999997</v>
      </c>
      <c r="D10">
        <f>ROUND($D$8*(1+Z10*(A10-$A$8)), 2)</f>
        <v>45.76</v>
      </c>
      <c r="E10">
        <f>ROUND($E$8*(1+AA10*(A10-$A$8)), 2)</f>
        <v>29.7</v>
      </c>
      <c r="F10">
        <f>ROUND($F$8*(1+AB10*(A10-$A$8)), 2)</f>
        <v>32.4</v>
      </c>
      <c r="G10">
        <v>46.25</v>
      </c>
      <c r="H10">
        <f>ROUND($H$8*(1+AD10*(A10-$A$8)), 2)</f>
        <v>31.69</v>
      </c>
      <c r="J10">
        <f>ROUND($J$8*(1+AE10*(A10-$A$8)), 2)</f>
        <v>34.32</v>
      </c>
      <c r="K10">
        <f>ROUND($K$8*(1+AF10*(A10-$A$8)), 2)</f>
        <v>36.479999999999997</v>
      </c>
      <c r="L10">
        <f>ROUND($L$8*(1+AG10*(A10-$A$8)), 2)</f>
        <v>39.770000000000003</v>
      </c>
      <c r="M10">
        <f>ROUND($M$8*(1+AH10*(A10-$A$8)), 2)</f>
        <v>34.51</v>
      </c>
      <c r="N10">
        <f>ROUND($N$8*(1+AI10*(A10-$A$8)), 2)</f>
        <v>41.32</v>
      </c>
      <c r="O10">
        <f>ROUND($O$8*(1+AJ10*(A10-$A$8)), 2)</f>
        <v>45.76</v>
      </c>
      <c r="P10">
        <f>ROUND($P$8*(1+AK10*(A10-$A$8)), 2)</f>
        <v>49.57</v>
      </c>
      <c r="Q10">
        <f>ROUND($Q$8*(1+AL10*(A10-$A$8)), 2)</f>
        <v>43.48</v>
      </c>
      <c r="V10">
        <v>2032</v>
      </c>
      <c r="X10">
        <v>0.1</v>
      </c>
      <c r="Y10">
        <v>0.1</v>
      </c>
      <c r="Z10">
        <v>0.15</v>
      </c>
      <c r="AA10">
        <v>0.05</v>
      </c>
      <c r="AB10">
        <v>0.1</v>
      </c>
      <c r="AC10">
        <v>0.13900000000000001</v>
      </c>
      <c r="AD10">
        <v>8.6900000000000005E-2</v>
      </c>
      <c r="AE10">
        <v>6.4500000000000002E-2</v>
      </c>
      <c r="AF10">
        <v>0.1</v>
      </c>
      <c r="AG10">
        <v>0.15410000000000001</v>
      </c>
      <c r="AH10">
        <v>6.7600000000000007E-2</v>
      </c>
      <c r="AI10">
        <v>8.6999999999999994E-2</v>
      </c>
      <c r="AJ10">
        <v>0.15</v>
      </c>
      <c r="AK10">
        <f t="shared" ref="AK10:AK13" si="13">Z10+0.0541</f>
        <v>0.2041</v>
      </c>
      <c r="AL10">
        <f t="shared" ref="AL10:AL13" si="14">Z10-0.0324</f>
        <v>0.1176</v>
      </c>
    </row>
    <row r="11" spans="1:38" x14ac:dyDescent="0.3">
      <c r="A11">
        <v>2033</v>
      </c>
      <c r="B11">
        <f>ROUND($B$8*(1+X11*(A11-$A$8)), 2)</f>
        <v>35.1</v>
      </c>
      <c r="C11">
        <f>ROUND($C$8*(1+Y11*(A11-$A$8)), 2)</f>
        <v>39.520000000000003</v>
      </c>
      <c r="D11">
        <f>ROUND($D$8*(1+Z11*(A11-$A$8)), 2)</f>
        <v>51.04</v>
      </c>
      <c r="E11">
        <f>ROUND($E$8*(1+AA11*(A11-$A$8)), 2)</f>
        <v>31.05</v>
      </c>
      <c r="F11">
        <f>ROUND($F$8*(1+AB11*(A11-$A$8)), 2)</f>
        <v>35.1</v>
      </c>
      <c r="G11">
        <v>51.28</v>
      </c>
      <c r="H11">
        <f>ROUND($H$8*(1+AD11*(A11-$A$8)), 2)</f>
        <v>34.04</v>
      </c>
      <c r="J11">
        <f>ROUND($J$8*(1+AE11*(A11-$A$8)), 2)</f>
        <v>36.28</v>
      </c>
      <c r="K11">
        <f>ROUND($K$8*(1+AF11*(A11-$A$8)), 2)</f>
        <v>39.520000000000003</v>
      </c>
      <c r="L11">
        <f>ROUND($L$8*(1+AG11*(A11-$A$8)), 2)</f>
        <v>44.45</v>
      </c>
      <c r="M11">
        <f>ROUND($M$8*(1+AH11*(A11-$A$8)), 2)</f>
        <v>36.57</v>
      </c>
      <c r="N11">
        <f>ROUND($N$8*(1+AI11*(A11-$A$8)), 2)</f>
        <v>44.39</v>
      </c>
      <c r="O11">
        <f>ROUND($O$8*(1+AJ11*(A11-$A$8)), 2)</f>
        <v>51.04</v>
      </c>
      <c r="P11">
        <f>ROUND($P$8*(1+AK11*(A11-$A$8)), 2)</f>
        <v>56.75</v>
      </c>
      <c r="Q11">
        <f>ROUND($Q$8*(1+AL11*(A11-$A$8)), 2)</f>
        <v>47.62</v>
      </c>
      <c r="V11">
        <v>2033</v>
      </c>
      <c r="X11">
        <v>0.1</v>
      </c>
      <c r="Y11">
        <v>0.1</v>
      </c>
      <c r="Z11">
        <v>0.15</v>
      </c>
      <c r="AA11">
        <v>0.05</v>
      </c>
      <c r="AB11">
        <v>0.1</v>
      </c>
      <c r="AC11">
        <v>0.13900000000000001</v>
      </c>
      <c r="AD11">
        <v>8.6900000000000005E-2</v>
      </c>
      <c r="AE11">
        <v>6.4500000000000002E-2</v>
      </c>
      <c r="AF11">
        <v>0.1</v>
      </c>
      <c r="AG11">
        <v>0.15410000000000001</v>
      </c>
      <c r="AH11">
        <v>6.7600000000000007E-2</v>
      </c>
      <c r="AI11">
        <v>8.6999999999999994E-2</v>
      </c>
      <c r="AJ11">
        <v>0.15</v>
      </c>
      <c r="AK11">
        <f t="shared" si="13"/>
        <v>0.2041</v>
      </c>
      <c r="AL11">
        <f t="shared" si="14"/>
        <v>0.1176</v>
      </c>
    </row>
    <row r="12" spans="1:38" x14ac:dyDescent="0.3">
      <c r="A12">
        <v>2034</v>
      </c>
      <c r="B12">
        <f>ROUND($B$8*(1+X12*(A12-$A$8)), 2)</f>
        <v>37.799999999999997</v>
      </c>
      <c r="C12">
        <f>ROUND($C$8*(1+Y12*(A12-$A$8)), 2)</f>
        <v>42.56</v>
      </c>
      <c r="D12">
        <f>ROUND($D$8*(1+Z12*(A12-$A$8)), 2)</f>
        <v>56.32</v>
      </c>
      <c r="E12">
        <f>ROUND($E$8*(1+AA12*(A12-$A$8)), 2)</f>
        <v>32.4</v>
      </c>
      <c r="F12">
        <f>ROUND($F$8*(1+AB12*(A12-$A$8)), 2)</f>
        <v>37.799999999999997</v>
      </c>
      <c r="G12">
        <v>56.31</v>
      </c>
      <c r="H12">
        <f>ROUND($H$8*(1+AD12*(A12-$A$8)), 2)</f>
        <v>36.39</v>
      </c>
      <c r="J12">
        <f>ROUND($J$8*(1+AE12*(A12-$A$8)), 2)</f>
        <v>38.24</v>
      </c>
      <c r="K12">
        <f>ROUND($K$8*(1+AF12*(A12-$A$8)), 2)</f>
        <v>42.56</v>
      </c>
      <c r="L12">
        <f>ROUND($L$8*(1+AG12*(A12-$A$8)), 2)</f>
        <v>49.14</v>
      </c>
      <c r="M12">
        <f>ROUND($M$8*(1+AH12*(A12-$A$8)), 2)</f>
        <v>38.619999999999997</v>
      </c>
      <c r="N12">
        <f>ROUND($N$8*(1+AI12*(A12-$A$8)), 2)</f>
        <v>47.45</v>
      </c>
      <c r="O12">
        <f>ROUND($O$8*(1+AJ12*(A12-$A$8)), 2)</f>
        <v>56.32</v>
      </c>
      <c r="P12">
        <f>ROUND($P$8*(1+AK12*(A12-$A$8)), 2)</f>
        <v>63.94</v>
      </c>
      <c r="Q12">
        <f>ROUND($Q$8*(1+AL12*(A12-$A$8)), 2)</f>
        <v>51.76</v>
      </c>
      <c r="V12">
        <v>2034</v>
      </c>
      <c r="X12">
        <v>0.1</v>
      </c>
      <c r="Y12">
        <v>0.1</v>
      </c>
      <c r="Z12">
        <v>0.15</v>
      </c>
      <c r="AA12">
        <v>0.05</v>
      </c>
      <c r="AB12">
        <v>0.1</v>
      </c>
      <c r="AC12">
        <v>0.13900000000000001</v>
      </c>
      <c r="AD12">
        <v>8.6900000000000005E-2</v>
      </c>
      <c r="AE12">
        <v>6.4500000000000002E-2</v>
      </c>
      <c r="AF12">
        <v>0.1</v>
      </c>
      <c r="AG12">
        <v>0.15410000000000001</v>
      </c>
      <c r="AH12">
        <v>6.7600000000000007E-2</v>
      </c>
      <c r="AI12">
        <v>8.6999999999999994E-2</v>
      </c>
      <c r="AJ12">
        <v>0.15</v>
      </c>
      <c r="AK12">
        <f t="shared" si="13"/>
        <v>0.2041</v>
      </c>
      <c r="AL12">
        <f t="shared" si="14"/>
        <v>0.1176</v>
      </c>
    </row>
    <row r="13" spans="1:38" x14ac:dyDescent="0.3">
      <c r="A13">
        <v>2035</v>
      </c>
      <c r="B13">
        <f>ROUND($B$8*(1+X13*(A13-$A$8)), 2)</f>
        <v>40.5</v>
      </c>
      <c r="C13">
        <f>ROUND($C$8*(1+Y13*(A13-$A$8)), 2)</f>
        <v>45.6</v>
      </c>
      <c r="D13">
        <f>ROUND($D$8*(1+Z13*(A13-$A$8)), 2)</f>
        <v>61.6</v>
      </c>
      <c r="E13">
        <f>ROUND($E$8*(1+AA13*(A13-$A$8)), 2)</f>
        <v>33.75</v>
      </c>
      <c r="F13">
        <f>ROUND($F$8*(1+AB13*(A13-$A$8)), 2)</f>
        <v>40.5</v>
      </c>
      <c r="G13">
        <v>61.34</v>
      </c>
      <c r="H13">
        <f>ROUND($H$8*(1+AD13*(A13-$A$8)), 2)</f>
        <v>38.729999999999997</v>
      </c>
      <c r="J13">
        <f>ROUND($J$8*(1+AE13*(A13-$A$8)), 2)</f>
        <v>40.200000000000003</v>
      </c>
      <c r="K13">
        <f>ROUND($K$8*(1+AF13*(A13-$A$8)), 2)</f>
        <v>45.6</v>
      </c>
      <c r="L13">
        <f>ROUND($L$8*(1+AG13*(A13-$A$8)), 2)</f>
        <v>53.82</v>
      </c>
      <c r="M13">
        <f>ROUND($M$8*(1+AH13*(A13-$A$8)), 2)</f>
        <v>40.68</v>
      </c>
      <c r="N13">
        <f>ROUND($N$8*(1+AI13*(A13-$A$8)), 2)</f>
        <v>50.51</v>
      </c>
      <c r="O13">
        <f>ROUND($O$8*(1+AJ13*(A13-$A$8)), 2)</f>
        <v>61.6</v>
      </c>
      <c r="P13">
        <f>ROUND($P$8*(1+AK13*(A13-$A$8)), 2)</f>
        <v>71.12</v>
      </c>
      <c r="Q13">
        <f>ROUND($Q$8*(1+AL13*(A13-$A$8)), 2)</f>
        <v>55.9</v>
      </c>
      <c r="V13">
        <v>2035</v>
      </c>
      <c r="X13">
        <v>0.1</v>
      </c>
      <c r="Y13">
        <v>0.1</v>
      </c>
      <c r="Z13">
        <v>0.15</v>
      </c>
      <c r="AA13">
        <v>0.05</v>
      </c>
      <c r="AB13">
        <v>0.1</v>
      </c>
      <c r="AC13">
        <v>0.13900000000000001</v>
      </c>
      <c r="AD13">
        <v>8.6900000000000005E-2</v>
      </c>
      <c r="AE13">
        <v>6.4500000000000002E-2</v>
      </c>
      <c r="AF13">
        <v>0.1</v>
      </c>
      <c r="AG13">
        <v>0.15410000000000001</v>
      </c>
      <c r="AH13">
        <v>6.7600000000000007E-2</v>
      </c>
      <c r="AI13">
        <v>8.6999999999999994E-2</v>
      </c>
      <c r="AJ13">
        <v>0.15</v>
      </c>
      <c r="AK13">
        <f t="shared" si="13"/>
        <v>0.2041</v>
      </c>
      <c r="AL13">
        <f t="shared" si="14"/>
        <v>0.1176</v>
      </c>
    </row>
    <row r="14" spans="1:38" x14ac:dyDescent="0.3">
      <c r="A14">
        <v>2036</v>
      </c>
      <c r="B14">
        <f>ROUND($B$13*(1+X14*(A14-$A$13)), 2)</f>
        <v>42.53</v>
      </c>
      <c r="C14">
        <f>ROUND($C$13*(1+Y14*(A14-$A$13)), 2)</f>
        <v>47.88</v>
      </c>
      <c r="D14">
        <f>ROUND($D$13*(1+Z14*(A14-$A$13)), 2)</f>
        <v>66.22</v>
      </c>
      <c r="E14">
        <f>ROUND($E$13*(1+AA14*(A14-$A$13)), 2)</f>
        <v>32.06</v>
      </c>
      <c r="F14">
        <f>ROUND($F$13*(1+AB14*(A14-$A$13)), 2)</f>
        <v>38.479999999999997</v>
      </c>
      <c r="G14">
        <v>65.599999999999994</v>
      </c>
      <c r="H14">
        <f>ROUND($H$13*(1+AD14*(A14-$A$13)), 2)</f>
        <v>40.409999999999997</v>
      </c>
      <c r="J14">
        <f t="shared" ref="J14:J23" si="15">ROUND($J$13*(1+AE14*(A14-$A$13)), 2)</f>
        <v>37.61</v>
      </c>
      <c r="K14">
        <f>ROUND($K$13*(1+AF14*(A14-$A$13)), 2)</f>
        <v>43.32</v>
      </c>
      <c r="L14">
        <f>ROUND($L$13*(1+AG14*(A14-$A$13)), 2)</f>
        <v>57.97</v>
      </c>
      <c r="M14">
        <f>ROUND($M$13*(1+AH14*(A14-$A$13)), 2)</f>
        <v>42.05</v>
      </c>
      <c r="N14">
        <f>ROUND($N$13*(1+AI14*(A14-$A$13)), 2)</f>
        <v>46.12</v>
      </c>
      <c r="O14">
        <f>ROUND($O$13*(1+AJ14*(A14-$A$13)), 2)</f>
        <v>56.98</v>
      </c>
      <c r="P14">
        <f>ROUND($P$13*(1+AK14*(A14-$A$13)), 2)</f>
        <v>78.38</v>
      </c>
      <c r="Q14">
        <f>ROUND($Q$13*(1+AL14*(A14-$A$13)), 2)</f>
        <v>59.19</v>
      </c>
      <c r="V14">
        <v>2036</v>
      </c>
      <c r="X14">
        <v>0.05</v>
      </c>
      <c r="Y14">
        <v>0.05</v>
      </c>
      <c r="Z14">
        <v>7.4999999999999997E-2</v>
      </c>
      <c r="AA14">
        <v>-0.05</v>
      </c>
      <c r="AB14">
        <v>-0.05</v>
      </c>
      <c r="AC14">
        <v>6.9500000000000006E-2</v>
      </c>
      <c r="AD14">
        <v>4.3450000000000003E-2</v>
      </c>
      <c r="AE14">
        <v>-6.4500000000000002E-2</v>
      </c>
      <c r="AF14">
        <v>-0.05</v>
      </c>
      <c r="AG14">
        <v>7.7050000000000007E-2</v>
      </c>
      <c r="AH14">
        <v>3.3800000000000004E-2</v>
      </c>
      <c r="AI14">
        <v>-8.6999999999999994E-2</v>
      </c>
      <c r="AJ14">
        <v>-7.4999999999999997E-2</v>
      </c>
      <c r="AK14">
        <v>0.10205</v>
      </c>
      <c r="AL14">
        <v>5.8799999999999998E-2</v>
      </c>
    </row>
    <row r="15" spans="1:38" x14ac:dyDescent="0.3">
      <c r="A15">
        <v>2037</v>
      </c>
      <c r="B15">
        <f>ROUND($B$13*(1+X15*(A15-$A$13)), 2)</f>
        <v>44.55</v>
      </c>
      <c r="C15">
        <f>ROUND($C$13*(1+Y15*(A15-$A$13)), 2)</f>
        <v>50.16</v>
      </c>
      <c r="D15">
        <f>ROUND($D$13*(1+Z15*(A15-$A$13)), 2)</f>
        <v>70.84</v>
      </c>
      <c r="E15">
        <f t="shared" ref="E15:E18" si="16">ROUND($E$13*(1+AA15*(A15-$A$13)), 2)</f>
        <v>30.38</v>
      </c>
      <c r="F15">
        <f>ROUND($F$13*(1+AB15*(A15-$A$13)), 2)</f>
        <v>36.450000000000003</v>
      </c>
      <c r="G15">
        <v>69.87</v>
      </c>
      <c r="H15">
        <f>ROUND($H$13*(1+AD15*(A15-$A$13)), 2)</f>
        <v>42.1</v>
      </c>
      <c r="J15">
        <f t="shared" si="15"/>
        <v>35.01</v>
      </c>
      <c r="K15">
        <f>ROUND($K$13*(1+AF15*(A15-$A$13)), 2)</f>
        <v>41.04</v>
      </c>
      <c r="L15">
        <f>ROUND($L$13*(1+AG15*(A15-$A$13)), 2)</f>
        <v>62.11</v>
      </c>
      <c r="M15">
        <f>ROUND($M$13*(1+AH15*(A15-$A$13)), 2)</f>
        <v>43.43</v>
      </c>
      <c r="N15">
        <f>ROUND($N$13*(1+AI15*(A15-$A$13)), 2)</f>
        <v>41.72</v>
      </c>
      <c r="O15">
        <f>ROUND($O$13*(1+AJ15*(A15-$A$13)), 2)</f>
        <v>52.36</v>
      </c>
      <c r="P15">
        <f>ROUND($P$13*(1+AK15*(A15-$A$13)), 2)</f>
        <v>85.64</v>
      </c>
      <c r="Q15">
        <f>ROUND($Q$13*(1+AL15*(A15-$A$13)), 2)</f>
        <v>62.47</v>
      </c>
      <c r="V15">
        <v>2037</v>
      </c>
      <c r="X15">
        <v>0.05</v>
      </c>
      <c r="Y15">
        <v>0.05</v>
      </c>
      <c r="Z15">
        <v>7.4999999999999997E-2</v>
      </c>
      <c r="AA15">
        <v>-0.05</v>
      </c>
      <c r="AB15">
        <v>-0.05</v>
      </c>
      <c r="AC15">
        <v>6.9500000000000006E-2</v>
      </c>
      <c r="AD15">
        <v>4.3450000000000003E-2</v>
      </c>
      <c r="AE15">
        <v>-6.4500000000000002E-2</v>
      </c>
      <c r="AF15">
        <v>-0.05</v>
      </c>
      <c r="AG15">
        <v>7.7050000000000007E-2</v>
      </c>
      <c r="AH15">
        <v>3.3800000000000004E-2</v>
      </c>
      <c r="AI15">
        <v>-8.6999999999999994E-2</v>
      </c>
      <c r="AJ15">
        <v>-7.4999999999999997E-2</v>
      </c>
      <c r="AK15">
        <v>0.10205</v>
      </c>
      <c r="AL15">
        <v>5.8799999999999998E-2</v>
      </c>
    </row>
    <row r="16" spans="1:38" x14ac:dyDescent="0.3">
      <c r="A16">
        <v>2038</v>
      </c>
      <c r="B16">
        <f>ROUND($B$13*(1+X16*(A16-$A$13)), 2)</f>
        <v>46.58</v>
      </c>
      <c r="C16">
        <f>ROUND($C$13*(1+Y16*(A16-$A$13)), 2)</f>
        <v>52.44</v>
      </c>
      <c r="D16">
        <f>ROUND($D$13*(1+Z16*(A16-$A$13)), 2)</f>
        <v>75.459999999999994</v>
      </c>
      <c r="E16">
        <f t="shared" si="16"/>
        <v>28.69</v>
      </c>
      <c r="F16">
        <f>ROUND($F$13*(1+AB16*(A16-$A$13)), 2)</f>
        <v>34.43</v>
      </c>
      <c r="G16">
        <v>74.13</v>
      </c>
      <c r="H16">
        <f>ROUND($H$13*(1+AD16*(A16-$A$13)), 2)</f>
        <v>43.78</v>
      </c>
      <c r="J16">
        <f t="shared" si="15"/>
        <v>32.42</v>
      </c>
      <c r="K16">
        <f>ROUND($K$13*(1+AF16*(A16-$A$13)), 2)</f>
        <v>38.76</v>
      </c>
      <c r="L16">
        <f>ROUND($L$13*(1+AG16*(A16-$A$13)), 2)</f>
        <v>66.260000000000005</v>
      </c>
      <c r="M16">
        <f>ROUND($M$13*(1+AH16*(A16-$A$13)), 2)</f>
        <v>44.8</v>
      </c>
      <c r="N16">
        <f>ROUND($N$13*(1+AI16*(A16-$A$13)), 2)</f>
        <v>37.33</v>
      </c>
      <c r="O16">
        <f>ROUND($O$13*(1+AJ16*(A16-$A$13)), 2)</f>
        <v>47.74</v>
      </c>
      <c r="P16">
        <f>ROUND($P$13*(1+AK16*(A16-$A$13)), 2)</f>
        <v>92.89</v>
      </c>
      <c r="Q16">
        <f>ROUND($Q$13*(1+AL16*(A16-$A$13)), 2)</f>
        <v>65.760000000000005</v>
      </c>
      <c r="V16">
        <v>2038</v>
      </c>
      <c r="X16">
        <v>0.05</v>
      </c>
      <c r="Y16">
        <v>0.05</v>
      </c>
      <c r="Z16">
        <v>7.4999999999999997E-2</v>
      </c>
      <c r="AA16">
        <v>-0.05</v>
      </c>
      <c r="AB16">
        <v>-0.05</v>
      </c>
      <c r="AC16">
        <v>6.9500000000000006E-2</v>
      </c>
      <c r="AD16">
        <v>4.3450000000000003E-2</v>
      </c>
      <c r="AE16">
        <v>-6.4500000000000002E-2</v>
      </c>
      <c r="AF16">
        <v>-0.05</v>
      </c>
      <c r="AG16">
        <v>7.7050000000000007E-2</v>
      </c>
      <c r="AH16">
        <v>3.3800000000000004E-2</v>
      </c>
      <c r="AI16">
        <v>-8.6999999999999994E-2</v>
      </c>
      <c r="AJ16">
        <v>-7.4999999999999997E-2</v>
      </c>
      <c r="AK16">
        <v>0.10205</v>
      </c>
      <c r="AL16">
        <v>5.8799999999999998E-2</v>
      </c>
    </row>
    <row r="17" spans="1:38" x14ac:dyDescent="0.3">
      <c r="A17">
        <v>2039</v>
      </c>
      <c r="B17">
        <f>ROUND($B$13*(1+X17*(A17-$A$13)), 2)</f>
        <v>48.6</v>
      </c>
      <c r="C17">
        <f>ROUND($C$13*(1+Y17*(A17-$A$13)), 2)</f>
        <v>54.72</v>
      </c>
      <c r="D17">
        <f>ROUND($D$13*(1+Z17*(A17-$A$13)), 2)</f>
        <v>80.08</v>
      </c>
      <c r="E17">
        <f t="shared" si="16"/>
        <v>27</v>
      </c>
      <c r="F17">
        <f>ROUND($F$13*(1+AB17*(A17-$A$13)), 2)</f>
        <v>32.4</v>
      </c>
      <c r="G17">
        <v>78.39</v>
      </c>
      <c r="H17">
        <f>ROUND($H$13*(1+AD17*(A17-$A$13)), 2)</f>
        <v>45.46</v>
      </c>
      <c r="J17">
        <f t="shared" si="15"/>
        <v>29.83</v>
      </c>
      <c r="K17">
        <f>ROUND($K$13*(1+AF17*(A17-$A$13)), 2)</f>
        <v>36.479999999999997</v>
      </c>
      <c r="L17">
        <f>ROUND($L$13*(1+AG17*(A17-$A$13)), 2)</f>
        <v>70.41</v>
      </c>
      <c r="M17">
        <f>ROUND($M$13*(1+AH17*(A17-$A$13)), 2)</f>
        <v>46.18</v>
      </c>
      <c r="N17">
        <f>ROUND($N$13*(1+AI17*(A17-$A$13)), 2)</f>
        <v>32.93</v>
      </c>
      <c r="O17">
        <f>ROUND($O$13*(1+AJ17*(A17-$A$13)), 2)</f>
        <v>43.12</v>
      </c>
      <c r="P17">
        <f>ROUND($P$13*(1+AK17*(A17-$A$13)), 2)</f>
        <v>100.15</v>
      </c>
      <c r="Q17">
        <f>ROUND($Q$13*(1+AL17*(A17-$A$13)), 2)</f>
        <v>69.05</v>
      </c>
      <c r="V17">
        <v>2039</v>
      </c>
      <c r="X17">
        <v>0.05</v>
      </c>
      <c r="Y17">
        <v>0.05</v>
      </c>
      <c r="Z17">
        <v>7.4999999999999997E-2</v>
      </c>
      <c r="AA17">
        <v>-0.05</v>
      </c>
      <c r="AB17">
        <v>-0.05</v>
      </c>
      <c r="AC17">
        <v>6.9500000000000006E-2</v>
      </c>
      <c r="AD17">
        <v>4.3450000000000003E-2</v>
      </c>
      <c r="AE17">
        <v>-6.4500000000000002E-2</v>
      </c>
      <c r="AF17">
        <v>-0.05</v>
      </c>
      <c r="AG17">
        <v>7.7050000000000007E-2</v>
      </c>
      <c r="AH17">
        <v>3.3800000000000004E-2</v>
      </c>
      <c r="AI17">
        <v>-8.6999999999999994E-2</v>
      </c>
      <c r="AJ17">
        <v>-7.4999999999999997E-2</v>
      </c>
      <c r="AK17">
        <v>0.10205</v>
      </c>
      <c r="AL17">
        <v>5.8799999999999998E-2</v>
      </c>
    </row>
    <row r="18" spans="1:38" x14ac:dyDescent="0.3">
      <c r="A18">
        <v>2040</v>
      </c>
      <c r="B18">
        <f>ROUND($B$13*(1+X18*(A18-$A$13)), 2)</f>
        <v>50.63</v>
      </c>
      <c r="C18">
        <f>ROUND($C$13*(1+Y18*(A18-$A$13)), 2)</f>
        <v>57</v>
      </c>
      <c r="D18">
        <f>ROUND($D$13*(1+Z18*(A18-$A$13)), 2)</f>
        <v>84.7</v>
      </c>
      <c r="E18">
        <f t="shared" si="16"/>
        <v>25.31</v>
      </c>
      <c r="F18">
        <f>ROUND($F$13*(1+AB18*(A18-$A$13)), 2)</f>
        <v>30.38</v>
      </c>
      <c r="G18">
        <v>82.66</v>
      </c>
      <c r="H18">
        <f>ROUND($H$13*(1+AD18*(A18-$A$13)), 2)</f>
        <v>47.14</v>
      </c>
      <c r="J18">
        <f t="shared" si="15"/>
        <v>27.24</v>
      </c>
      <c r="K18">
        <f>ROUND($K$13*(1+AF18*(A18-$A$13)), 2)</f>
        <v>34.200000000000003</v>
      </c>
      <c r="L18">
        <f>ROUND($L$13*(1+AG18*(A18-$A$13)), 2)</f>
        <v>74.55</v>
      </c>
      <c r="M18">
        <f>ROUND($M$13*(1+AH18*(A18-$A$13)), 2)</f>
        <v>47.55</v>
      </c>
      <c r="N18">
        <f>ROUND($N$13*(1+AI18*(A18-$A$13)), 2)</f>
        <v>28.54</v>
      </c>
      <c r="O18">
        <f>ROUND($O$13*(1+AJ18*(A18-$A$13)), 2)</f>
        <v>38.5</v>
      </c>
      <c r="P18">
        <f>ROUND($P$13*(1+AK18*(A18-$A$13)), 2)</f>
        <v>107.41</v>
      </c>
      <c r="Q18">
        <f>ROUND($Q$13*(1+AL18*(A18-$A$13)), 2)</f>
        <v>72.33</v>
      </c>
      <c r="V18">
        <v>2040</v>
      </c>
      <c r="X18">
        <v>0.05</v>
      </c>
      <c r="Y18">
        <v>0.05</v>
      </c>
      <c r="Z18">
        <v>7.4999999999999997E-2</v>
      </c>
      <c r="AA18">
        <v>-0.05</v>
      </c>
      <c r="AB18">
        <v>-0.05</v>
      </c>
      <c r="AC18">
        <v>6.9500000000000006E-2</v>
      </c>
      <c r="AD18">
        <v>4.3450000000000003E-2</v>
      </c>
      <c r="AE18">
        <v>-6.4500000000000002E-2</v>
      </c>
      <c r="AF18">
        <v>-0.05</v>
      </c>
      <c r="AG18">
        <v>7.7050000000000007E-2</v>
      </c>
      <c r="AH18">
        <v>3.3800000000000004E-2</v>
      </c>
      <c r="AI18">
        <v>-8.6999999999999994E-2</v>
      </c>
      <c r="AJ18">
        <v>-7.4999999999999997E-2</v>
      </c>
      <c r="AK18">
        <v>0.10205</v>
      </c>
      <c r="AL18">
        <v>5.8799999999999998E-2</v>
      </c>
    </row>
    <row r="19" spans="1:38" x14ac:dyDescent="0.3">
      <c r="A19">
        <v>2041</v>
      </c>
      <c r="B19">
        <f t="shared" ref="B19:B28" si="17">ROUND($B$18*(1+X19*(A19-$A$18)), 2)</f>
        <v>51.9</v>
      </c>
      <c r="C19">
        <f t="shared" ref="C19:C28" si="18">ROUND($C$18*(1+Y19*(A19-$A$18)), 2)</f>
        <v>58.43</v>
      </c>
      <c r="D19">
        <f t="shared" ref="D19:D28" si="19">ROUND($D$18*(1+Z19*(A19-$A$18)), 2)</f>
        <v>87.88</v>
      </c>
      <c r="E19">
        <f>ROUND($E$18*(1+AA19*(A19-$A$18)), 2)</f>
        <v>24.04</v>
      </c>
      <c r="F19">
        <f t="shared" ref="F19:F28" si="20">ROUND($F$18*(1+AB19*(A19-$A$18)), 2)</f>
        <v>31.14</v>
      </c>
      <c r="G19">
        <v>85.53</v>
      </c>
      <c r="H19">
        <f t="shared" ref="H19:H28" si="21">ROUND($H$18*(1+AD19*(A19-$A$18)), 2)</f>
        <v>48.16</v>
      </c>
      <c r="J19">
        <f t="shared" si="15"/>
        <v>24.64</v>
      </c>
      <c r="K19">
        <f t="shared" ref="K19:K28" si="22">ROUND($K$18*(1+AF19*(A19-$A$18)), 2)</f>
        <v>35.06</v>
      </c>
      <c r="L19">
        <f t="shared" ref="L19:L28" si="23">ROUND($L$18*(1+AG19*(A19-$A$18)), 2)</f>
        <v>77.42</v>
      </c>
      <c r="M19">
        <f t="shared" ref="M19:M28" si="24">ROUND($M$18*(1+AH19*(A19-$A$18)), 2)</f>
        <v>48.35</v>
      </c>
      <c r="N19">
        <f>ROUND($N$18*(1+AI19*(A19-$A$18)), 2)</f>
        <v>26.06</v>
      </c>
      <c r="O19">
        <f t="shared" ref="O19:O28" si="25">ROUND($O$18*(1+AJ19*(A19-$A$18)), 2)</f>
        <v>39.94</v>
      </c>
      <c r="P19">
        <f t="shared" ref="P19:P28" si="26">ROUND($P$18*(1+AK19*(A19-$A$18)), 2)</f>
        <v>112.89</v>
      </c>
      <c r="Q19">
        <f t="shared" ref="Q19:Q28" si="27">ROUND($Q$18*(1+AL19*(A19-$A$18)), 2)</f>
        <v>74.459999999999994</v>
      </c>
      <c r="V19">
        <v>2041</v>
      </c>
      <c r="X19">
        <v>2.5000000000000001E-2</v>
      </c>
      <c r="Y19">
        <v>2.5000000000000001E-2</v>
      </c>
      <c r="Z19">
        <v>3.7499999999999999E-2</v>
      </c>
      <c r="AA19">
        <v>-0.05</v>
      </c>
      <c r="AB19">
        <v>2.5000000000000001E-2</v>
      </c>
      <c r="AC19">
        <v>3.4750000000000003E-2</v>
      </c>
      <c r="AD19">
        <v>2.1725000000000001E-2</v>
      </c>
      <c r="AE19">
        <v>-6.4500000000000002E-2</v>
      </c>
      <c r="AF19">
        <v>2.5000000000000001E-2</v>
      </c>
      <c r="AG19">
        <v>3.8525000000000004E-2</v>
      </c>
      <c r="AH19">
        <v>1.6900000000000002E-2</v>
      </c>
      <c r="AI19">
        <v>-8.6999999999999994E-2</v>
      </c>
      <c r="AJ19">
        <v>3.7499999999999999E-2</v>
      </c>
      <c r="AK19">
        <v>5.1025000000000001E-2</v>
      </c>
      <c r="AL19">
        <v>2.9399999999999999E-2</v>
      </c>
    </row>
    <row r="20" spans="1:38" x14ac:dyDescent="0.3">
      <c r="A20">
        <v>2042</v>
      </c>
      <c r="B20">
        <f t="shared" si="17"/>
        <v>53.16</v>
      </c>
      <c r="C20">
        <f t="shared" si="18"/>
        <v>59.85</v>
      </c>
      <c r="D20">
        <f t="shared" si="19"/>
        <v>91.05</v>
      </c>
      <c r="E20">
        <f t="shared" ref="E20:E23" si="28">ROUND($E$18*(1+AA20*(A20-$A$18)), 2)</f>
        <v>22.78</v>
      </c>
      <c r="F20">
        <f t="shared" si="20"/>
        <v>31.9</v>
      </c>
      <c r="G20">
        <v>88.4</v>
      </c>
      <c r="H20">
        <f t="shared" si="21"/>
        <v>49.19</v>
      </c>
      <c r="J20">
        <f t="shared" si="15"/>
        <v>22.05</v>
      </c>
      <c r="K20">
        <f t="shared" si="22"/>
        <v>35.909999999999997</v>
      </c>
      <c r="L20">
        <f t="shared" si="23"/>
        <v>80.290000000000006</v>
      </c>
      <c r="M20">
        <f t="shared" si="24"/>
        <v>49.16</v>
      </c>
      <c r="N20">
        <f>ROUND($N$18*(1+AI20*(A20-$A$18)), 2)</f>
        <v>23.57</v>
      </c>
      <c r="O20">
        <f t="shared" si="25"/>
        <v>41.39</v>
      </c>
      <c r="P20">
        <f t="shared" si="26"/>
        <v>118.37</v>
      </c>
      <c r="Q20">
        <f t="shared" si="27"/>
        <v>76.58</v>
      </c>
      <c r="V20">
        <v>2042</v>
      </c>
      <c r="X20">
        <v>2.5000000000000001E-2</v>
      </c>
      <c r="Y20">
        <v>2.5000000000000001E-2</v>
      </c>
      <c r="Z20">
        <v>3.7499999999999999E-2</v>
      </c>
      <c r="AA20">
        <v>-0.05</v>
      </c>
      <c r="AB20">
        <v>2.5000000000000001E-2</v>
      </c>
      <c r="AC20">
        <v>3.4750000000000003E-2</v>
      </c>
      <c r="AD20">
        <v>2.1725000000000001E-2</v>
      </c>
      <c r="AE20">
        <v>-6.4500000000000002E-2</v>
      </c>
      <c r="AF20">
        <v>2.5000000000000001E-2</v>
      </c>
      <c r="AG20">
        <v>3.8525000000000004E-2</v>
      </c>
      <c r="AH20">
        <v>1.6900000000000002E-2</v>
      </c>
      <c r="AI20">
        <v>-8.6999999999999994E-2</v>
      </c>
      <c r="AJ20">
        <v>3.7499999999999999E-2</v>
      </c>
      <c r="AK20">
        <v>5.1025000000000001E-2</v>
      </c>
      <c r="AL20">
        <v>2.9399999999999999E-2</v>
      </c>
    </row>
    <row r="21" spans="1:38" x14ac:dyDescent="0.3">
      <c r="A21">
        <v>2043</v>
      </c>
      <c r="B21">
        <f t="shared" si="17"/>
        <v>54.43</v>
      </c>
      <c r="C21">
        <f t="shared" si="18"/>
        <v>61.28</v>
      </c>
      <c r="D21">
        <f t="shared" si="19"/>
        <v>94.23</v>
      </c>
      <c r="E21">
        <f t="shared" si="28"/>
        <v>21.51</v>
      </c>
      <c r="F21">
        <f t="shared" si="20"/>
        <v>32.659999999999997</v>
      </c>
      <c r="G21">
        <v>91.28</v>
      </c>
      <c r="H21">
        <f t="shared" si="21"/>
        <v>50.21</v>
      </c>
      <c r="J21">
        <f t="shared" si="15"/>
        <v>19.46</v>
      </c>
      <c r="K21">
        <f t="shared" si="22"/>
        <v>36.770000000000003</v>
      </c>
      <c r="L21">
        <f t="shared" si="23"/>
        <v>83.17</v>
      </c>
      <c r="M21">
        <f t="shared" si="24"/>
        <v>49.96</v>
      </c>
      <c r="N21">
        <f>ROUND($N$18*(1+AI21*(A21-$A$18)), 2)</f>
        <v>21.09</v>
      </c>
      <c r="O21">
        <f t="shared" si="25"/>
        <v>42.83</v>
      </c>
      <c r="P21">
        <f t="shared" si="26"/>
        <v>123.85</v>
      </c>
      <c r="Q21">
        <f t="shared" si="27"/>
        <v>78.709999999999994</v>
      </c>
      <c r="V21">
        <v>2043</v>
      </c>
      <c r="X21">
        <v>2.5000000000000001E-2</v>
      </c>
      <c r="Y21">
        <v>2.5000000000000001E-2</v>
      </c>
      <c r="Z21">
        <v>3.7499999999999999E-2</v>
      </c>
      <c r="AA21">
        <v>-0.05</v>
      </c>
      <c r="AB21">
        <v>2.5000000000000001E-2</v>
      </c>
      <c r="AC21">
        <v>3.4750000000000003E-2</v>
      </c>
      <c r="AD21">
        <v>2.1725000000000001E-2</v>
      </c>
      <c r="AE21">
        <v>-6.4500000000000002E-2</v>
      </c>
      <c r="AF21">
        <v>2.5000000000000001E-2</v>
      </c>
      <c r="AG21">
        <v>3.8525000000000004E-2</v>
      </c>
      <c r="AH21">
        <v>1.6900000000000002E-2</v>
      </c>
      <c r="AI21">
        <v>-8.6999999999999994E-2</v>
      </c>
      <c r="AJ21">
        <v>3.7499999999999999E-2</v>
      </c>
      <c r="AK21">
        <v>5.1025000000000001E-2</v>
      </c>
      <c r="AL21">
        <v>2.9399999999999999E-2</v>
      </c>
    </row>
    <row r="22" spans="1:38" x14ac:dyDescent="0.3">
      <c r="A22">
        <v>2044</v>
      </c>
      <c r="B22">
        <f t="shared" si="17"/>
        <v>55.69</v>
      </c>
      <c r="C22">
        <f t="shared" si="18"/>
        <v>62.7</v>
      </c>
      <c r="D22">
        <f t="shared" si="19"/>
        <v>97.41</v>
      </c>
      <c r="E22">
        <f t="shared" si="28"/>
        <v>20.25</v>
      </c>
      <c r="F22">
        <f t="shared" si="20"/>
        <v>33.42</v>
      </c>
      <c r="G22">
        <v>94.15</v>
      </c>
      <c r="H22">
        <f t="shared" si="21"/>
        <v>51.24</v>
      </c>
      <c r="J22">
        <f t="shared" si="15"/>
        <v>16.86</v>
      </c>
      <c r="K22">
        <f t="shared" si="22"/>
        <v>37.619999999999997</v>
      </c>
      <c r="L22">
        <f t="shared" si="23"/>
        <v>86.04</v>
      </c>
      <c r="M22">
        <f t="shared" si="24"/>
        <v>50.76</v>
      </c>
      <c r="N22">
        <f>ROUND($N$18*(1+AI22*(A22-$A$18)), 2)</f>
        <v>18.61</v>
      </c>
      <c r="O22">
        <f t="shared" si="25"/>
        <v>44.28</v>
      </c>
      <c r="P22">
        <f t="shared" si="26"/>
        <v>129.33000000000001</v>
      </c>
      <c r="Q22">
        <f t="shared" si="27"/>
        <v>80.84</v>
      </c>
      <c r="V22">
        <v>2044</v>
      </c>
      <c r="X22">
        <v>2.5000000000000001E-2</v>
      </c>
      <c r="Y22">
        <v>2.5000000000000001E-2</v>
      </c>
      <c r="Z22">
        <v>3.7499999999999999E-2</v>
      </c>
      <c r="AA22">
        <v>-0.05</v>
      </c>
      <c r="AB22">
        <v>2.5000000000000001E-2</v>
      </c>
      <c r="AC22">
        <v>3.4750000000000003E-2</v>
      </c>
      <c r="AD22">
        <v>2.1725000000000001E-2</v>
      </c>
      <c r="AE22">
        <v>-6.4500000000000002E-2</v>
      </c>
      <c r="AF22">
        <v>2.5000000000000001E-2</v>
      </c>
      <c r="AG22">
        <v>3.8525000000000004E-2</v>
      </c>
      <c r="AH22">
        <v>1.6900000000000002E-2</v>
      </c>
      <c r="AI22">
        <v>-8.6999999999999994E-2</v>
      </c>
      <c r="AJ22">
        <v>3.7499999999999999E-2</v>
      </c>
      <c r="AK22">
        <v>5.1025000000000001E-2</v>
      </c>
      <c r="AL22">
        <v>2.9399999999999999E-2</v>
      </c>
    </row>
    <row r="23" spans="1:38" x14ac:dyDescent="0.3">
      <c r="A23">
        <v>2045</v>
      </c>
      <c r="B23">
        <f t="shared" si="17"/>
        <v>56.96</v>
      </c>
      <c r="C23">
        <f t="shared" si="18"/>
        <v>64.13</v>
      </c>
      <c r="D23">
        <f t="shared" si="19"/>
        <v>100.58</v>
      </c>
      <c r="E23">
        <f t="shared" si="28"/>
        <v>18.98</v>
      </c>
      <c r="F23">
        <f t="shared" si="20"/>
        <v>34.18</v>
      </c>
      <c r="G23">
        <v>97.02</v>
      </c>
      <c r="H23">
        <f t="shared" si="21"/>
        <v>52.26</v>
      </c>
      <c r="J23">
        <f t="shared" si="15"/>
        <v>14.27</v>
      </c>
      <c r="K23">
        <f t="shared" si="22"/>
        <v>38.479999999999997</v>
      </c>
      <c r="L23">
        <f t="shared" si="23"/>
        <v>88.91</v>
      </c>
      <c r="M23">
        <f t="shared" si="24"/>
        <v>51.57</v>
      </c>
      <c r="N23">
        <f>ROUND($N$18*(1+AI23*(A23-$A$18)), 2)</f>
        <v>16.13</v>
      </c>
      <c r="O23">
        <f t="shared" si="25"/>
        <v>45.72</v>
      </c>
      <c r="P23">
        <f t="shared" si="26"/>
        <v>134.81</v>
      </c>
      <c r="Q23">
        <f t="shared" si="27"/>
        <v>82.96</v>
      </c>
      <c r="V23">
        <v>2045</v>
      </c>
      <c r="X23">
        <v>2.5000000000000001E-2</v>
      </c>
      <c r="Y23">
        <v>2.5000000000000001E-2</v>
      </c>
      <c r="Z23">
        <v>3.7499999999999999E-2</v>
      </c>
      <c r="AA23">
        <v>-0.05</v>
      </c>
      <c r="AB23">
        <v>2.5000000000000001E-2</v>
      </c>
      <c r="AC23">
        <v>3.4750000000000003E-2</v>
      </c>
      <c r="AD23">
        <v>2.1725000000000001E-2</v>
      </c>
      <c r="AE23">
        <v>-6.4500000000000002E-2</v>
      </c>
      <c r="AF23">
        <v>2.5000000000000001E-2</v>
      </c>
      <c r="AG23">
        <v>3.8525000000000004E-2</v>
      </c>
      <c r="AH23">
        <v>1.6900000000000002E-2</v>
      </c>
      <c r="AI23">
        <v>-8.6999999999999994E-2</v>
      </c>
      <c r="AJ23">
        <v>3.7499999999999999E-2</v>
      </c>
      <c r="AK23">
        <v>5.1025000000000001E-2</v>
      </c>
      <c r="AL23">
        <v>2.9399999999999999E-2</v>
      </c>
    </row>
    <row r="24" spans="1:38" x14ac:dyDescent="0.3">
      <c r="A24">
        <v>2046</v>
      </c>
      <c r="B24">
        <f t="shared" si="17"/>
        <v>58.22</v>
      </c>
      <c r="C24">
        <f t="shared" si="18"/>
        <v>65.55</v>
      </c>
      <c r="D24">
        <f t="shared" si="19"/>
        <v>103.76</v>
      </c>
      <c r="E24">
        <f>ROUND($E$23*(1+AA24*(A24-$A$23)), 2)</f>
        <v>19.45</v>
      </c>
      <c r="F24">
        <f t="shared" si="20"/>
        <v>34.94</v>
      </c>
      <c r="G24">
        <v>99.89</v>
      </c>
      <c r="H24">
        <f t="shared" si="21"/>
        <v>53.28</v>
      </c>
      <c r="J24">
        <f>ROUND($J$23*(1+AE24*(A24-$A$23)), 2)</f>
        <v>14.73</v>
      </c>
      <c r="K24">
        <f t="shared" si="22"/>
        <v>39.33</v>
      </c>
      <c r="L24">
        <f t="shared" si="23"/>
        <v>91.78</v>
      </c>
      <c r="M24">
        <f t="shared" si="24"/>
        <v>52.37</v>
      </c>
      <c r="N24">
        <f>ROUND($N$23*(1+AI24*(A24-$A$23)), 2)</f>
        <v>16.829999999999998</v>
      </c>
      <c r="O24">
        <f t="shared" si="25"/>
        <v>47.16</v>
      </c>
      <c r="P24">
        <f t="shared" si="26"/>
        <v>140.29</v>
      </c>
      <c r="Q24">
        <f t="shared" si="27"/>
        <v>85.09</v>
      </c>
      <c r="V24">
        <v>2046</v>
      </c>
      <c r="X24">
        <v>2.5000000000000001E-2</v>
      </c>
      <c r="Y24">
        <v>2.5000000000000001E-2</v>
      </c>
      <c r="Z24">
        <v>3.7499999999999999E-2</v>
      </c>
      <c r="AA24">
        <v>2.5000000000000001E-2</v>
      </c>
      <c r="AB24">
        <v>2.5000000000000001E-2</v>
      </c>
      <c r="AC24">
        <v>3.4750000000000003E-2</v>
      </c>
      <c r="AD24">
        <v>2.1725000000000001E-2</v>
      </c>
      <c r="AE24">
        <v>3.2250000000000001E-2</v>
      </c>
      <c r="AF24">
        <v>2.5000000000000001E-2</v>
      </c>
      <c r="AG24">
        <v>3.8525000000000004E-2</v>
      </c>
      <c r="AH24">
        <v>1.6900000000000002E-2</v>
      </c>
      <c r="AI24">
        <v>4.3499999999999997E-2</v>
      </c>
      <c r="AJ24">
        <v>3.7499999999999999E-2</v>
      </c>
      <c r="AK24">
        <v>5.1025000000000001E-2</v>
      </c>
      <c r="AL24">
        <v>2.9399999999999999E-2</v>
      </c>
    </row>
    <row r="25" spans="1:38" x14ac:dyDescent="0.3">
      <c r="A25">
        <v>2047</v>
      </c>
      <c r="B25">
        <f t="shared" si="17"/>
        <v>59.49</v>
      </c>
      <c r="C25">
        <f t="shared" si="18"/>
        <v>66.98</v>
      </c>
      <c r="D25">
        <f t="shared" si="19"/>
        <v>106.93</v>
      </c>
      <c r="E25">
        <f>ROUND($E$23*(1+AA25*(A25-$A$23)), 2)</f>
        <v>19.93</v>
      </c>
      <c r="F25">
        <f t="shared" si="20"/>
        <v>35.700000000000003</v>
      </c>
      <c r="G25">
        <v>102.77</v>
      </c>
      <c r="H25">
        <f t="shared" si="21"/>
        <v>54.31</v>
      </c>
      <c r="J25">
        <f>ROUND($J$23*(1+AE25*(A25-$A$23)), 2)</f>
        <v>15.19</v>
      </c>
      <c r="K25">
        <f t="shared" si="22"/>
        <v>40.19</v>
      </c>
      <c r="L25">
        <f t="shared" si="23"/>
        <v>94.65</v>
      </c>
      <c r="M25">
        <f t="shared" si="24"/>
        <v>53.18</v>
      </c>
      <c r="N25">
        <f>ROUND($N$23*(1+AI25*(A25-$A$23)), 2)</f>
        <v>17.53</v>
      </c>
      <c r="O25">
        <f t="shared" si="25"/>
        <v>48.61</v>
      </c>
      <c r="P25">
        <f t="shared" si="26"/>
        <v>145.77000000000001</v>
      </c>
      <c r="Q25">
        <f t="shared" si="27"/>
        <v>87.22</v>
      </c>
      <c r="V25">
        <v>2047</v>
      </c>
      <c r="X25">
        <v>2.5000000000000001E-2</v>
      </c>
      <c r="Y25">
        <v>2.5000000000000001E-2</v>
      </c>
      <c r="Z25">
        <v>3.7499999999999999E-2</v>
      </c>
      <c r="AA25">
        <v>2.5000000000000001E-2</v>
      </c>
      <c r="AB25">
        <v>2.5000000000000001E-2</v>
      </c>
      <c r="AC25">
        <v>3.4750000000000003E-2</v>
      </c>
      <c r="AD25">
        <v>2.1725000000000001E-2</v>
      </c>
      <c r="AE25">
        <v>3.2250000000000001E-2</v>
      </c>
      <c r="AF25">
        <v>2.5000000000000001E-2</v>
      </c>
      <c r="AG25">
        <v>3.8525000000000004E-2</v>
      </c>
      <c r="AH25">
        <v>1.6900000000000002E-2</v>
      </c>
      <c r="AI25">
        <v>4.3499999999999997E-2</v>
      </c>
      <c r="AJ25">
        <v>3.7499999999999999E-2</v>
      </c>
      <c r="AK25">
        <v>5.1025000000000001E-2</v>
      </c>
      <c r="AL25">
        <v>2.9399999999999999E-2</v>
      </c>
    </row>
    <row r="26" spans="1:38" x14ac:dyDescent="0.3">
      <c r="A26">
        <v>2048</v>
      </c>
      <c r="B26">
        <f t="shared" si="17"/>
        <v>60.76</v>
      </c>
      <c r="C26">
        <f t="shared" si="18"/>
        <v>68.400000000000006</v>
      </c>
      <c r="D26">
        <f t="shared" si="19"/>
        <v>110.11</v>
      </c>
      <c r="E26">
        <f>ROUND($E$23*(1+AA26*(A26-$A$23)), 2)</f>
        <v>20.399999999999999</v>
      </c>
      <c r="F26">
        <f t="shared" si="20"/>
        <v>36.46</v>
      </c>
      <c r="G26">
        <v>105.64</v>
      </c>
      <c r="H26">
        <f t="shared" si="21"/>
        <v>55.33</v>
      </c>
      <c r="J26">
        <f>ROUND($J$23*(1+AE26*(A26-$A$23)), 2)</f>
        <v>15.65</v>
      </c>
      <c r="K26">
        <f t="shared" si="22"/>
        <v>41.04</v>
      </c>
      <c r="L26">
        <f t="shared" si="23"/>
        <v>97.53</v>
      </c>
      <c r="M26">
        <f t="shared" si="24"/>
        <v>53.98</v>
      </c>
      <c r="N26">
        <f>ROUND($N$23*(1+AI26*(A26-$A$23)), 2)</f>
        <v>18.23</v>
      </c>
      <c r="O26">
        <f t="shared" si="25"/>
        <v>50.05</v>
      </c>
      <c r="P26">
        <f t="shared" si="26"/>
        <v>151.25</v>
      </c>
      <c r="Q26">
        <f t="shared" si="27"/>
        <v>89.34</v>
      </c>
      <c r="V26">
        <v>2048</v>
      </c>
      <c r="X26">
        <v>2.5000000000000001E-2</v>
      </c>
      <c r="Y26">
        <v>2.5000000000000001E-2</v>
      </c>
      <c r="Z26">
        <v>3.7499999999999999E-2</v>
      </c>
      <c r="AA26">
        <v>2.5000000000000001E-2</v>
      </c>
      <c r="AB26">
        <v>2.5000000000000001E-2</v>
      </c>
      <c r="AC26">
        <v>3.4750000000000003E-2</v>
      </c>
      <c r="AD26">
        <v>2.1725000000000001E-2</v>
      </c>
      <c r="AE26">
        <v>3.2250000000000001E-2</v>
      </c>
      <c r="AF26">
        <v>2.5000000000000001E-2</v>
      </c>
      <c r="AG26">
        <v>3.8525000000000004E-2</v>
      </c>
      <c r="AH26">
        <v>1.6900000000000002E-2</v>
      </c>
      <c r="AI26">
        <v>4.3499999999999997E-2</v>
      </c>
      <c r="AJ26">
        <v>3.7499999999999999E-2</v>
      </c>
      <c r="AK26">
        <v>5.1025000000000001E-2</v>
      </c>
      <c r="AL26">
        <v>2.9399999999999999E-2</v>
      </c>
    </row>
    <row r="27" spans="1:38" x14ac:dyDescent="0.3">
      <c r="A27">
        <v>2049</v>
      </c>
      <c r="B27">
        <f t="shared" si="17"/>
        <v>62.02</v>
      </c>
      <c r="C27">
        <f t="shared" si="18"/>
        <v>69.83</v>
      </c>
      <c r="D27">
        <f t="shared" si="19"/>
        <v>113.29</v>
      </c>
      <c r="E27">
        <f>ROUND($E$23*(1+AA27*(A27-$A$23)), 2)</f>
        <v>20.88</v>
      </c>
      <c r="F27">
        <f t="shared" si="20"/>
        <v>37.22</v>
      </c>
      <c r="G27">
        <v>108.51</v>
      </c>
      <c r="H27">
        <f t="shared" si="21"/>
        <v>56.36</v>
      </c>
      <c r="J27">
        <f>ROUND($J$23*(1+AE27*(A27-$A$23)), 2)</f>
        <v>16.11</v>
      </c>
      <c r="K27">
        <f t="shared" si="22"/>
        <v>41.9</v>
      </c>
      <c r="L27">
        <f t="shared" si="23"/>
        <v>100.4</v>
      </c>
      <c r="M27">
        <f t="shared" si="24"/>
        <v>54.78</v>
      </c>
      <c r="N27">
        <f>ROUND($N$23*(1+AI27*(A27-$A$23)), 2)</f>
        <v>18.940000000000001</v>
      </c>
      <c r="O27">
        <f t="shared" si="25"/>
        <v>51.49</v>
      </c>
      <c r="P27">
        <f t="shared" si="26"/>
        <v>156.74</v>
      </c>
      <c r="Q27">
        <f t="shared" si="27"/>
        <v>91.47</v>
      </c>
      <c r="V27">
        <v>2049</v>
      </c>
      <c r="X27">
        <v>2.5000000000000001E-2</v>
      </c>
      <c r="Y27">
        <v>2.5000000000000001E-2</v>
      </c>
      <c r="Z27">
        <v>3.7499999999999999E-2</v>
      </c>
      <c r="AA27">
        <v>2.5000000000000001E-2</v>
      </c>
      <c r="AB27">
        <v>2.5000000000000001E-2</v>
      </c>
      <c r="AC27">
        <v>3.4750000000000003E-2</v>
      </c>
      <c r="AD27">
        <v>2.1725000000000001E-2</v>
      </c>
      <c r="AE27">
        <v>3.2250000000000001E-2</v>
      </c>
      <c r="AF27">
        <v>2.5000000000000001E-2</v>
      </c>
      <c r="AG27">
        <v>3.8525000000000004E-2</v>
      </c>
      <c r="AH27">
        <v>1.6900000000000002E-2</v>
      </c>
      <c r="AI27">
        <v>4.3499999999999997E-2</v>
      </c>
      <c r="AJ27">
        <v>3.7499999999999999E-2</v>
      </c>
      <c r="AK27">
        <v>5.1025000000000001E-2</v>
      </c>
      <c r="AL27">
        <v>2.9399999999999999E-2</v>
      </c>
    </row>
    <row r="28" spans="1:38" x14ac:dyDescent="0.3">
      <c r="A28">
        <v>2050</v>
      </c>
      <c r="B28">
        <f t="shared" si="17"/>
        <v>63.29</v>
      </c>
      <c r="C28">
        <f t="shared" si="18"/>
        <v>71.25</v>
      </c>
      <c r="D28">
        <f t="shared" si="19"/>
        <v>116.46</v>
      </c>
      <c r="E28">
        <f>ROUND($E$23*(1+AA28*(A28-$A$23)), 2)</f>
        <v>21.35</v>
      </c>
      <c r="F28">
        <f t="shared" si="20"/>
        <v>37.979999999999997</v>
      </c>
      <c r="G28">
        <v>111.38</v>
      </c>
      <c r="H28">
        <f t="shared" si="21"/>
        <v>57.38</v>
      </c>
      <c r="J28">
        <f>ROUND($J$23*(1+AE28*(A28-$A$23)), 2)</f>
        <v>16.57</v>
      </c>
      <c r="K28">
        <f t="shared" si="22"/>
        <v>42.75</v>
      </c>
      <c r="L28">
        <f t="shared" si="23"/>
        <v>103.27</v>
      </c>
      <c r="M28">
        <f t="shared" si="24"/>
        <v>55.59</v>
      </c>
      <c r="N28">
        <f>ROUND($N$23*(1+AI28*(A28-$A$23)), 2)</f>
        <v>19.64</v>
      </c>
      <c r="O28">
        <f t="shared" si="25"/>
        <v>52.94</v>
      </c>
      <c r="P28">
        <f t="shared" si="26"/>
        <v>162.22</v>
      </c>
      <c r="Q28">
        <f t="shared" si="27"/>
        <v>93.6</v>
      </c>
      <c r="V28">
        <v>2050</v>
      </c>
      <c r="X28">
        <v>2.5000000000000001E-2</v>
      </c>
      <c r="Y28">
        <v>2.5000000000000001E-2</v>
      </c>
      <c r="Z28">
        <v>3.7499999999999999E-2</v>
      </c>
      <c r="AA28">
        <v>2.5000000000000001E-2</v>
      </c>
      <c r="AB28">
        <v>2.5000000000000001E-2</v>
      </c>
      <c r="AC28">
        <v>3.4750000000000003E-2</v>
      </c>
      <c r="AD28">
        <v>2.1725000000000001E-2</v>
      </c>
      <c r="AE28">
        <v>3.2250000000000001E-2</v>
      </c>
      <c r="AF28">
        <v>2.5000000000000001E-2</v>
      </c>
      <c r="AG28">
        <v>3.8525000000000004E-2</v>
      </c>
      <c r="AH28">
        <v>1.6900000000000002E-2</v>
      </c>
      <c r="AI28">
        <v>4.3499999999999997E-2</v>
      </c>
      <c r="AJ28">
        <v>3.7499999999999999E-2</v>
      </c>
      <c r="AK28">
        <v>5.1025000000000001E-2</v>
      </c>
      <c r="AL28">
        <v>2.9399999999999999E-2</v>
      </c>
    </row>
    <row r="31" spans="1:38" x14ac:dyDescent="0.3">
      <c r="AA31" s="1"/>
    </row>
  </sheetData>
  <mergeCells count="1">
    <mergeCell ref="X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5CE6-94F4-4E9A-8560-6BFC8591EF01}">
  <dimension ref="A1:V2788"/>
  <sheetViews>
    <sheetView showGridLines="0" zoomScale="81" zoomScaleNormal="81" workbookViewId="0">
      <selection activeCell="R26" sqref="R26:V30"/>
    </sheetView>
  </sheetViews>
  <sheetFormatPr defaultRowHeight="14.4" x14ac:dyDescent="0.3"/>
  <cols>
    <col min="1" max="1" width="8.88671875" style="15"/>
    <col min="6" max="6" width="36.21875" customWidth="1"/>
    <col min="7" max="7" width="8.88671875" style="13"/>
    <col min="9" max="9" width="8.88671875" style="14"/>
    <col min="14" max="14" width="35.77734375" customWidth="1"/>
    <col min="22" max="22" width="32.44140625" customWidth="1"/>
  </cols>
  <sheetData>
    <row r="1" spans="2:22" ht="24" thickBot="1" x14ac:dyDescent="0.5">
      <c r="B1" s="25" t="s">
        <v>59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2:22" ht="21" x14ac:dyDescent="0.4">
      <c r="B2" s="60" t="s">
        <v>60</v>
      </c>
      <c r="C2" s="61"/>
      <c r="D2" s="61"/>
      <c r="E2" s="61"/>
      <c r="F2" s="62"/>
      <c r="G2" s="17"/>
      <c r="H2" s="17"/>
      <c r="I2" s="18"/>
      <c r="J2" s="42" t="s">
        <v>157</v>
      </c>
      <c r="K2" s="43"/>
      <c r="L2" s="43"/>
      <c r="M2" s="43"/>
      <c r="N2" s="43"/>
      <c r="O2" s="10"/>
      <c r="P2" s="11"/>
      <c r="Q2" s="12"/>
      <c r="R2" s="72" t="s">
        <v>180</v>
      </c>
      <c r="S2" s="72"/>
      <c r="T2" s="72"/>
      <c r="U2" s="72"/>
      <c r="V2" s="73"/>
    </row>
    <row r="3" spans="2:22" x14ac:dyDescent="0.3">
      <c r="B3" s="63" t="s">
        <v>61</v>
      </c>
      <c r="C3" s="45"/>
      <c r="D3" s="45"/>
      <c r="E3" s="45"/>
      <c r="F3" s="64"/>
      <c r="G3" s="17"/>
      <c r="H3" s="17"/>
      <c r="I3" s="18"/>
      <c r="J3" s="44" t="s">
        <v>61</v>
      </c>
      <c r="K3" s="45"/>
      <c r="L3" s="45"/>
      <c r="M3" s="45"/>
      <c r="N3" s="45"/>
      <c r="O3" s="16"/>
      <c r="P3" s="17"/>
      <c r="Q3" s="18"/>
      <c r="R3" s="45" t="s">
        <v>61</v>
      </c>
      <c r="S3" s="45"/>
      <c r="T3" s="45"/>
      <c r="U3" s="45"/>
      <c r="V3" s="74"/>
    </row>
    <row r="4" spans="2:22" ht="21" x14ac:dyDescent="0.4">
      <c r="B4" s="36" t="s">
        <v>66</v>
      </c>
      <c r="C4" s="37"/>
      <c r="D4" s="37"/>
      <c r="E4" s="37"/>
      <c r="F4" s="38"/>
      <c r="G4" s="17"/>
      <c r="H4" s="17"/>
      <c r="I4" s="18"/>
      <c r="J4" s="46" t="s">
        <v>124</v>
      </c>
      <c r="K4" s="47"/>
      <c r="L4" s="47"/>
      <c r="M4" s="47"/>
      <c r="N4" s="47"/>
      <c r="O4" s="16"/>
      <c r="P4" s="17"/>
      <c r="Q4" s="18"/>
      <c r="R4" s="56" t="s">
        <v>181</v>
      </c>
      <c r="S4" s="56"/>
      <c r="T4" s="56"/>
      <c r="U4" s="56"/>
      <c r="V4" s="57"/>
    </row>
    <row r="5" spans="2:22" x14ac:dyDescent="0.3">
      <c r="B5" s="27" t="s">
        <v>62</v>
      </c>
      <c r="C5" s="28"/>
      <c r="D5" s="28"/>
      <c r="E5" s="28"/>
      <c r="F5" s="29"/>
      <c r="G5" s="17"/>
      <c r="H5" s="17"/>
      <c r="I5" s="18"/>
      <c r="J5" s="48" t="s">
        <v>126</v>
      </c>
      <c r="K5" s="28"/>
      <c r="L5" s="28"/>
      <c r="M5" s="28"/>
      <c r="N5" s="28"/>
      <c r="O5" s="16"/>
      <c r="P5" s="17"/>
      <c r="Q5" s="18"/>
      <c r="R5" s="28" t="s">
        <v>182</v>
      </c>
      <c r="S5" s="28"/>
      <c r="T5" s="28"/>
      <c r="U5" s="28"/>
      <c r="V5" s="55"/>
    </row>
    <row r="6" spans="2:22" ht="14.4" customHeight="1" x14ac:dyDescent="0.3">
      <c r="B6" s="30" t="s">
        <v>94</v>
      </c>
      <c r="C6" s="31"/>
      <c r="D6" s="31"/>
      <c r="E6" s="31"/>
      <c r="F6" s="32"/>
      <c r="G6" s="17"/>
      <c r="H6" s="17"/>
      <c r="I6" s="18"/>
      <c r="J6" s="49" t="s">
        <v>158</v>
      </c>
      <c r="K6" s="31"/>
      <c r="L6" s="31"/>
      <c r="M6" s="31"/>
      <c r="N6" s="31"/>
      <c r="O6" s="16"/>
      <c r="P6" s="17"/>
      <c r="Q6" s="18"/>
      <c r="R6" s="31" t="s">
        <v>220</v>
      </c>
      <c r="S6" s="31"/>
      <c r="T6" s="31"/>
      <c r="U6" s="31"/>
      <c r="V6" s="53"/>
    </row>
    <row r="7" spans="2:22" ht="14.4" customHeight="1" x14ac:dyDescent="0.3">
      <c r="B7" s="58"/>
      <c r="C7" s="51"/>
      <c r="D7" s="51"/>
      <c r="E7" s="51"/>
      <c r="F7" s="59"/>
      <c r="G7" s="17"/>
      <c r="H7" s="17"/>
      <c r="I7" s="18"/>
      <c r="J7" s="50"/>
      <c r="K7" s="51"/>
      <c r="L7" s="51"/>
      <c r="M7" s="51"/>
      <c r="N7" s="51"/>
      <c r="O7" s="16"/>
      <c r="P7" s="17"/>
      <c r="Q7" s="18"/>
      <c r="R7" s="51"/>
      <c r="S7" s="51"/>
      <c r="T7" s="51"/>
      <c r="U7" s="51"/>
      <c r="V7" s="69"/>
    </row>
    <row r="8" spans="2:22" x14ac:dyDescent="0.3">
      <c r="B8" s="33"/>
      <c r="C8" s="34"/>
      <c r="D8" s="34"/>
      <c r="E8" s="34"/>
      <c r="F8" s="35"/>
      <c r="G8" s="17"/>
      <c r="H8" s="17"/>
      <c r="I8" s="18"/>
      <c r="J8" s="52"/>
      <c r="K8" s="34"/>
      <c r="L8" s="34"/>
      <c r="M8" s="34"/>
      <c r="N8" s="34"/>
      <c r="O8" s="16"/>
      <c r="P8" s="17"/>
      <c r="Q8" s="18"/>
      <c r="R8" s="34"/>
      <c r="S8" s="34"/>
      <c r="T8" s="34"/>
      <c r="U8" s="34"/>
      <c r="V8" s="54"/>
    </row>
    <row r="9" spans="2:22" x14ac:dyDescent="0.3">
      <c r="B9" s="27" t="s">
        <v>63</v>
      </c>
      <c r="C9" s="28"/>
      <c r="D9" s="28"/>
      <c r="E9" s="28"/>
      <c r="F9" s="29"/>
      <c r="G9" s="17"/>
      <c r="H9" s="17"/>
      <c r="I9" s="18"/>
      <c r="J9" s="48" t="s">
        <v>125</v>
      </c>
      <c r="K9" s="28"/>
      <c r="L9" s="28"/>
      <c r="M9" s="28"/>
      <c r="N9" s="28"/>
      <c r="O9" s="16"/>
      <c r="P9" s="17"/>
      <c r="Q9" s="18"/>
      <c r="R9" s="28" t="s">
        <v>183</v>
      </c>
      <c r="S9" s="28"/>
      <c r="T9" s="28"/>
      <c r="U9" s="28"/>
      <c r="V9" s="55"/>
    </row>
    <row r="10" spans="2:22" ht="14.4" customHeight="1" x14ac:dyDescent="0.3">
      <c r="B10" s="39" t="s">
        <v>93</v>
      </c>
      <c r="C10" s="40"/>
      <c r="D10" s="40"/>
      <c r="E10" s="40"/>
      <c r="F10" s="41"/>
      <c r="G10" s="17"/>
      <c r="H10" s="17"/>
      <c r="I10" s="18"/>
      <c r="J10" s="49" t="s">
        <v>159</v>
      </c>
      <c r="K10" s="31"/>
      <c r="L10" s="31"/>
      <c r="M10" s="31"/>
      <c r="N10" s="31"/>
      <c r="O10" s="16"/>
      <c r="P10" s="17"/>
      <c r="Q10" s="18"/>
      <c r="R10" s="30" t="s">
        <v>217</v>
      </c>
      <c r="S10" s="31"/>
      <c r="T10" s="31"/>
      <c r="U10" s="31"/>
      <c r="V10" s="53"/>
    </row>
    <row r="11" spans="2:22" x14ac:dyDescent="0.3">
      <c r="B11" s="27" t="s">
        <v>64</v>
      </c>
      <c r="C11" s="28"/>
      <c r="D11" s="28"/>
      <c r="E11" s="28"/>
      <c r="F11" s="29"/>
      <c r="G11" s="17"/>
      <c r="H11" s="17"/>
      <c r="I11" s="18"/>
      <c r="J11" s="52"/>
      <c r="K11" s="34"/>
      <c r="L11" s="34"/>
      <c r="M11" s="34"/>
      <c r="N11" s="34"/>
      <c r="O11" s="16"/>
      <c r="P11" s="17"/>
      <c r="Q11" s="18"/>
      <c r="R11" s="33"/>
      <c r="S11" s="34"/>
      <c r="T11" s="34"/>
      <c r="U11" s="34"/>
      <c r="V11" s="54"/>
    </row>
    <row r="12" spans="2:22" ht="14.4" customHeight="1" x14ac:dyDescent="0.3">
      <c r="B12" s="30" t="s">
        <v>70</v>
      </c>
      <c r="C12" s="31"/>
      <c r="D12" s="31"/>
      <c r="E12" s="31"/>
      <c r="F12" s="32"/>
      <c r="G12" s="17"/>
      <c r="H12" s="17"/>
      <c r="I12" s="18"/>
      <c r="J12" s="48" t="s">
        <v>127</v>
      </c>
      <c r="K12" s="28"/>
      <c r="L12" s="28"/>
      <c r="M12" s="28"/>
      <c r="N12" s="28"/>
      <c r="O12" s="16"/>
      <c r="P12" s="17"/>
      <c r="Q12" s="18"/>
      <c r="R12" s="27" t="s">
        <v>184</v>
      </c>
      <c r="S12" s="28"/>
      <c r="T12" s="28"/>
      <c r="U12" s="28"/>
      <c r="V12" s="55"/>
    </row>
    <row r="13" spans="2:22" ht="14.4" customHeight="1" x14ac:dyDescent="0.3">
      <c r="B13" s="33"/>
      <c r="C13" s="34"/>
      <c r="D13" s="34"/>
      <c r="E13" s="34"/>
      <c r="F13" s="35"/>
      <c r="G13" s="17"/>
      <c r="H13" s="17"/>
      <c r="I13" s="18"/>
      <c r="J13" s="49" t="s">
        <v>70</v>
      </c>
      <c r="K13" s="31"/>
      <c r="L13" s="31"/>
      <c r="M13" s="31"/>
      <c r="N13" s="31"/>
      <c r="O13" s="16"/>
      <c r="P13" s="17"/>
      <c r="Q13" s="18"/>
      <c r="R13" s="30" t="s">
        <v>218</v>
      </c>
      <c r="S13" s="31"/>
      <c r="T13" s="31"/>
      <c r="U13" s="31"/>
      <c r="V13" s="53"/>
    </row>
    <row r="14" spans="2:22" x14ac:dyDescent="0.3">
      <c r="B14" s="27" t="s">
        <v>65</v>
      </c>
      <c r="C14" s="28"/>
      <c r="D14" s="28"/>
      <c r="E14" s="28"/>
      <c r="F14" s="29"/>
      <c r="G14" s="17"/>
      <c r="H14" s="17"/>
      <c r="I14" s="18"/>
      <c r="J14" s="52"/>
      <c r="K14" s="34"/>
      <c r="L14" s="34"/>
      <c r="M14" s="34"/>
      <c r="N14" s="34"/>
      <c r="O14" s="16"/>
      <c r="P14" s="17"/>
      <c r="Q14" s="18"/>
      <c r="R14" s="33"/>
      <c r="S14" s="34"/>
      <c r="T14" s="34"/>
      <c r="U14" s="34"/>
      <c r="V14" s="54"/>
    </row>
    <row r="15" spans="2:22" ht="14.4" customHeight="1" x14ac:dyDescent="0.3">
      <c r="B15" s="30" t="s">
        <v>69</v>
      </c>
      <c r="C15" s="31"/>
      <c r="D15" s="31"/>
      <c r="E15" s="31"/>
      <c r="F15" s="32"/>
      <c r="G15" s="17"/>
      <c r="H15" s="17"/>
      <c r="I15" s="18"/>
      <c r="J15" s="48" t="s">
        <v>128</v>
      </c>
      <c r="K15" s="28"/>
      <c r="L15" s="28"/>
      <c r="M15" s="28"/>
      <c r="N15" s="28"/>
      <c r="O15" s="16"/>
      <c r="P15" s="17"/>
      <c r="Q15" s="18"/>
      <c r="R15" s="27" t="s">
        <v>185</v>
      </c>
      <c r="S15" s="28"/>
      <c r="T15" s="28"/>
      <c r="U15" s="28"/>
      <c r="V15" s="55"/>
    </row>
    <row r="16" spans="2:22" ht="14.4" customHeight="1" x14ac:dyDescent="0.3">
      <c r="B16" s="33"/>
      <c r="C16" s="34"/>
      <c r="D16" s="34"/>
      <c r="E16" s="34"/>
      <c r="F16" s="35"/>
      <c r="G16" s="17"/>
      <c r="H16" s="17"/>
      <c r="I16" s="18"/>
      <c r="J16" s="49" t="s">
        <v>69</v>
      </c>
      <c r="K16" s="31"/>
      <c r="L16" s="31"/>
      <c r="M16" s="31"/>
      <c r="N16" s="31"/>
      <c r="O16" s="16"/>
      <c r="P16" s="17"/>
      <c r="Q16" s="18"/>
      <c r="R16" s="30" t="s">
        <v>219</v>
      </c>
      <c r="S16" s="31"/>
      <c r="T16" s="31"/>
      <c r="U16" s="31"/>
      <c r="V16" s="53"/>
    </row>
    <row r="17" spans="2:22" ht="21" x14ac:dyDescent="0.4">
      <c r="B17" s="36" t="s">
        <v>67</v>
      </c>
      <c r="C17" s="37"/>
      <c r="D17" s="37"/>
      <c r="E17" s="37"/>
      <c r="F17" s="38"/>
      <c r="G17" s="17"/>
      <c r="H17" s="17"/>
      <c r="I17" s="18"/>
      <c r="J17" s="52"/>
      <c r="K17" s="34"/>
      <c r="L17" s="34"/>
      <c r="M17" s="34"/>
      <c r="N17" s="34"/>
      <c r="O17" s="16"/>
      <c r="P17" s="17"/>
      <c r="Q17" s="18"/>
      <c r="R17" s="33"/>
      <c r="S17" s="34"/>
      <c r="T17" s="34"/>
      <c r="U17" s="34"/>
      <c r="V17" s="54"/>
    </row>
    <row r="18" spans="2:22" ht="21" x14ac:dyDescent="0.4">
      <c r="B18" s="27" t="s">
        <v>68</v>
      </c>
      <c r="C18" s="28"/>
      <c r="D18" s="28"/>
      <c r="E18" s="28"/>
      <c r="F18" s="29"/>
      <c r="G18" s="17"/>
      <c r="H18" s="17"/>
      <c r="I18" s="18"/>
      <c r="J18" s="46" t="s">
        <v>129</v>
      </c>
      <c r="K18" s="47"/>
      <c r="L18" s="47"/>
      <c r="M18" s="47"/>
      <c r="N18" s="47"/>
      <c r="O18" s="16"/>
      <c r="P18" s="17"/>
      <c r="Q18" s="18"/>
      <c r="R18" s="56" t="s">
        <v>186</v>
      </c>
      <c r="S18" s="56"/>
      <c r="T18" s="56"/>
      <c r="U18" s="56"/>
      <c r="V18" s="57"/>
    </row>
    <row r="19" spans="2:22" ht="14.4" customHeight="1" x14ac:dyDescent="0.3">
      <c r="B19" s="30" t="s">
        <v>96</v>
      </c>
      <c r="C19" s="31"/>
      <c r="D19" s="31"/>
      <c r="E19" s="31"/>
      <c r="F19" s="32"/>
      <c r="G19" s="17"/>
      <c r="H19" s="17"/>
      <c r="I19" s="18"/>
      <c r="J19" s="48" t="s">
        <v>130</v>
      </c>
      <c r="K19" s="28"/>
      <c r="L19" s="28"/>
      <c r="M19" s="28"/>
      <c r="N19" s="28"/>
      <c r="O19" s="16"/>
      <c r="P19" s="17"/>
      <c r="Q19" s="18"/>
      <c r="R19" s="27" t="s">
        <v>187</v>
      </c>
      <c r="S19" s="28"/>
      <c r="T19" s="28"/>
      <c r="U19" s="28"/>
      <c r="V19" s="55"/>
    </row>
    <row r="20" spans="2:22" ht="14.4" customHeight="1" x14ac:dyDescent="0.3">
      <c r="B20" s="58"/>
      <c r="C20" s="51"/>
      <c r="D20" s="51"/>
      <c r="E20" s="51"/>
      <c r="F20" s="59"/>
      <c r="G20" s="17"/>
      <c r="H20" s="17"/>
      <c r="I20" s="18"/>
      <c r="J20" s="49" t="s">
        <v>160</v>
      </c>
      <c r="K20" s="31"/>
      <c r="L20" s="31"/>
      <c r="M20" s="31"/>
      <c r="N20" s="31"/>
      <c r="O20" s="16"/>
      <c r="P20" s="17"/>
      <c r="Q20" s="18"/>
      <c r="R20" s="30" t="s">
        <v>221</v>
      </c>
      <c r="S20" s="31"/>
      <c r="T20" s="31"/>
      <c r="U20" s="31"/>
      <c r="V20" s="53"/>
    </row>
    <row r="21" spans="2:22" x14ac:dyDescent="0.3">
      <c r="B21" s="58"/>
      <c r="C21" s="51"/>
      <c r="D21" s="51"/>
      <c r="E21" s="51"/>
      <c r="F21" s="59"/>
      <c r="G21" s="17"/>
      <c r="H21" s="17"/>
      <c r="I21" s="18"/>
      <c r="J21" s="50"/>
      <c r="K21" s="51"/>
      <c r="L21" s="51"/>
      <c r="M21" s="51"/>
      <c r="N21" s="51"/>
      <c r="O21" s="16"/>
      <c r="P21" s="17"/>
      <c r="Q21" s="18"/>
      <c r="R21" s="58"/>
      <c r="S21" s="51"/>
      <c r="T21" s="51"/>
      <c r="U21" s="51"/>
      <c r="V21" s="69"/>
    </row>
    <row r="22" spans="2:22" x14ac:dyDescent="0.3">
      <c r="B22" s="58"/>
      <c r="C22" s="51"/>
      <c r="D22" s="51"/>
      <c r="E22" s="51"/>
      <c r="F22" s="59"/>
      <c r="G22" s="17"/>
      <c r="H22" s="17"/>
      <c r="I22" s="18"/>
      <c r="J22" s="50"/>
      <c r="K22" s="51"/>
      <c r="L22" s="51"/>
      <c r="M22" s="51"/>
      <c r="N22" s="51"/>
      <c r="O22" s="16"/>
      <c r="P22" s="17"/>
      <c r="Q22" s="18"/>
      <c r="R22" s="58"/>
      <c r="S22" s="51"/>
      <c r="T22" s="51"/>
      <c r="U22" s="51"/>
      <c r="V22" s="69"/>
    </row>
    <row r="23" spans="2:22" x14ac:dyDescent="0.3">
      <c r="B23" s="33"/>
      <c r="C23" s="34"/>
      <c r="D23" s="34"/>
      <c r="E23" s="34"/>
      <c r="F23" s="35"/>
      <c r="G23" s="17"/>
      <c r="H23" s="17"/>
      <c r="I23" s="18"/>
      <c r="J23" s="50"/>
      <c r="K23" s="51"/>
      <c r="L23" s="51"/>
      <c r="M23" s="51"/>
      <c r="N23" s="51"/>
      <c r="O23" s="16"/>
      <c r="P23" s="17"/>
      <c r="Q23" s="18"/>
      <c r="R23" s="58"/>
      <c r="S23" s="51"/>
      <c r="T23" s="51"/>
      <c r="U23" s="51"/>
      <c r="V23" s="69"/>
    </row>
    <row r="24" spans="2:22" x14ac:dyDescent="0.3">
      <c r="B24" s="27" t="s">
        <v>76</v>
      </c>
      <c r="C24" s="28"/>
      <c r="D24" s="28"/>
      <c r="E24" s="28"/>
      <c r="F24" s="29"/>
      <c r="G24" s="17"/>
      <c r="H24" s="17"/>
      <c r="I24" s="18"/>
      <c r="J24" s="52"/>
      <c r="K24" s="34"/>
      <c r="L24" s="34"/>
      <c r="M24" s="34"/>
      <c r="N24" s="34"/>
      <c r="O24" s="16"/>
      <c r="P24" s="17"/>
      <c r="Q24" s="18"/>
      <c r="R24" s="33"/>
      <c r="S24" s="34"/>
      <c r="T24" s="34"/>
      <c r="U24" s="34"/>
      <c r="V24" s="54"/>
    </row>
    <row r="25" spans="2:22" ht="14.4" customHeight="1" x14ac:dyDescent="0.3">
      <c r="B25" s="30" t="s">
        <v>95</v>
      </c>
      <c r="C25" s="31"/>
      <c r="D25" s="31"/>
      <c r="E25" s="31"/>
      <c r="F25" s="32"/>
      <c r="G25" s="17"/>
      <c r="H25" s="17"/>
      <c r="I25" s="18"/>
      <c r="J25" s="48" t="s">
        <v>131</v>
      </c>
      <c r="K25" s="28"/>
      <c r="L25" s="28"/>
      <c r="M25" s="28"/>
      <c r="N25" s="28"/>
      <c r="O25" s="16"/>
      <c r="P25" s="17"/>
      <c r="Q25" s="18"/>
      <c r="R25" s="27" t="s">
        <v>188</v>
      </c>
      <c r="S25" s="28"/>
      <c r="T25" s="28"/>
      <c r="U25" s="28"/>
      <c r="V25" s="55"/>
    </row>
    <row r="26" spans="2:22" ht="14.4" customHeight="1" x14ac:dyDescent="0.3">
      <c r="B26" s="58"/>
      <c r="C26" s="51"/>
      <c r="D26" s="51"/>
      <c r="E26" s="51"/>
      <c r="F26" s="59"/>
      <c r="G26" s="17"/>
      <c r="H26" s="17"/>
      <c r="I26" s="18"/>
      <c r="J26" s="49" t="s">
        <v>161</v>
      </c>
      <c r="K26" s="31"/>
      <c r="L26" s="31"/>
      <c r="M26" s="31"/>
      <c r="N26" s="31"/>
      <c r="O26" s="16"/>
      <c r="P26" s="17"/>
      <c r="Q26" s="18"/>
      <c r="R26" s="30" t="s">
        <v>222</v>
      </c>
      <c r="S26" s="31"/>
      <c r="T26" s="31"/>
      <c r="U26" s="31"/>
      <c r="V26" s="53"/>
    </row>
    <row r="27" spans="2:22" x14ac:dyDescent="0.3">
      <c r="B27" s="58"/>
      <c r="C27" s="51"/>
      <c r="D27" s="51"/>
      <c r="E27" s="51"/>
      <c r="F27" s="59"/>
      <c r="G27" s="17"/>
      <c r="H27" s="17"/>
      <c r="I27" s="18"/>
      <c r="J27" s="50"/>
      <c r="K27" s="51"/>
      <c r="L27" s="51"/>
      <c r="M27" s="51"/>
      <c r="N27" s="51"/>
      <c r="O27" s="16"/>
      <c r="P27" s="17"/>
      <c r="Q27" s="18"/>
      <c r="R27" s="58"/>
      <c r="S27" s="51"/>
      <c r="T27" s="51"/>
      <c r="U27" s="51"/>
      <c r="V27" s="69"/>
    </row>
    <row r="28" spans="2:22" x14ac:dyDescent="0.3">
      <c r="B28" s="58"/>
      <c r="C28" s="51"/>
      <c r="D28" s="51"/>
      <c r="E28" s="51"/>
      <c r="F28" s="59"/>
      <c r="G28" s="17"/>
      <c r="H28" s="17"/>
      <c r="I28" s="18"/>
      <c r="J28" s="50"/>
      <c r="K28" s="51"/>
      <c r="L28" s="51"/>
      <c r="M28" s="51"/>
      <c r="N28" s="51"/>
      <c r="O28" s="16"/>
      <c r="P28" s="17"/>
      <c r="Q28" s="18"/>
      <c r="R28" s="58"/>
      <c r="S28" s="51"/>
      <c r="T28" s="51"/>
      <c r="U28" s="51"/>
      <c r="V28" s="69"/>
    </row>
    <row r="29" spans="2:22" x14ac:dyDescent="0.3">
      <c r="B29" s="33"/>
      <c r="C29" s="34"/>
      <c r="D29" s="34"/>
      <c r="E29" s="34"/>
      <c r="F29" s="35"/>
      <c r="G29" s="17"/>
      <c r="H29" s="17"/>
      <c r="I29" s="18"/>
      <c r="J29" s="50"/>
      <c r="K29" s="51"/>
      <c r="L29" s="51"/>
      <c r="M29" s="51"/>
      <c r="N29" s="51"/>
      <c r="O29" s="16"/>
      <c r="P29" s="17"/>
      <c r="Q29" s="18"/>
      <c r="R29" s="58"/>
      <c r="S29" s="51"/>
      <c r="T29" s="51"/>
      <c r="U29" s="51"/>
      <c r="V29" s="69"/>
    </row>
    <row r="30" spans="2:22" x14ac:dyDescent="0.3">
      <c r="B30" s="27" t="s">
        <v>77</v>
      </c>
      <c r="C30" s="28"/>
      <c r="D30" s="28"/>
      <c r="E30" s="28"/>
      <c r="F30" s="29"/>
      <c r="G30" s="17"/>
      <c r="H30" s="17"/>
      <c r="I30" s="18"/>
      <c r="J30" s="52"/>
      <c r="K30" s="34"/>
      <c r="L30" s="34"/>
      <c r="M30" s="34"/>
      <c r="N30" s="34"/>
      <c r="O30" s="16"/>
      <c r="P30" s="17"/>
      <c r="Q30" s="18"/>
      <c r="R30" s="33"/>
      <c r="S30" s="34"/>
      <c r="T30" s="34"/>
      <c r="U30" s="34"/>
      <c r="V30" s="54"/>
    </row>
    <row r="31" spans="2:22" ht="14.4" customHeight="1" x14ac:dyDescent="0.3">
      <c r="B31" s="30" t="s">
        <v>82</v>
      </c>
      <c r="C31" s="31"/>
      <c r="D31" s="31"/>
      <c r="E31" s="31"/>
      <c r="F31" s="32"/>
      <c r="G31" s="17"/>
      <c r="H31" s="17"/>
      <c r="I31" s="18"/>
      <c r="J31" s="48" t="s">
        <v>132</v>
      </c>
      <c r="K31" s="28"/>
      <c r="L31" s="28"/>
      <c r="M31" s="28"/>
      <c r="N31" s="28"/>
      <c r="O31" s="16"/>
      <c r="P31" s="17"/>
      <c r="Q31" s="18"/>
      <c r="R31" s="27" t="s">
        <v>189</v>
      </c>
      <c r="S31" s="28"/>
      <c r="T31" s="28"/>
      <c r="U31" s="28"/>
      <c r="V31" s="55"/>
    </row>
    <row r="32" spans="2:22" ht="14.4" customHeight="1" x14ac:dyDescent="0.3">
      <c r="B32" s="33"/>
      <c r="C32" s="34"/>
      <c r="D32" s="34"/>
      <c r="E32" s="34"/>
      <c r="F32" s="35"/>
      <c r="G32" s="17"/>
      <c r="H32" s="17"/>
      <c r="I32" s="18"/>
      <c r="J32" s="49" t="s">
        <v>162</v>
      </c>
      <c r="K32" s="31"/>
      <c r="L32" s="31"/>
      <c r="M32" s="31"/>
      <c r="N32" s="31"/>
      <c r="O32" s="16"/>
      <c r="P32" s="17"/>
      <c r="Q32" s="18"/>
      <c r="R32" s="30" t="s">
        <v>223</v>
      </c>
      <c r="S32" s="31"/>
      <c r="T32" s="31"/>
      <c r="U32" s="31"/>
      <c r="V32" s="53"/>
    </row>
    <row r="33" spans="2:22" x14ac:dyDescent="0.3">
      <c r="B33" s="27" t="s">
        <v>78</v>
      </c>
      <c r="C33" s="28"/>
      <c r="D33" s="28"/>
      <c r="E33" s="28"/>
      <c r="F33" s="29"/>
      <c r="G33" s="17"/>
      <c r="H33" s="17"/>
      <c r="I33" s="18"/>
      <c r="J33" s="52"/>
      <c r="K33" s="34"/>
      <c r="L33" s="34"/>
      <c r="M33" s="34"/>
      <c r="N33" s="34"/>
      <c r="O33" s="16"/>
      <c r="P33" s="17"/>
      <c r="Q33" s="18"/>
      <c r="R33" s="33"/>
      <c r="S33" s="34"/>
      <c r="T33" s="34"/>
      <c r="U33" s="34"/>
      <c r="V33" s="54"/>
    </row>
    <row r="34" spans="2:22" ht="14.4" customHeight="1" x14ac:dyDescent="0.3">
      <c r="B34" s="30" t="s">
        <v>81</v>
      </c>
      <c r="C34" s="31"/>
      <c r="D34" s="31"/>
      <c r="E34" s="31"/>
      <c r="F34" s="32"/>
      <c r="G34" s="17"/>
      <c r="H34" s="17"/>
      <c r="I34" s="18"/>
      <c r="J34" s="48" t="s">
        <v>164</v>
      </c>
      <c r="K34" s="28"/>
      <c r="L34" s="28"/>
      <c r="M34" s="28"/>
      <c r="N34" s="28"/>
      <c r="O34" s="16"/>
      <c r="P34" s="17"/>
      <c r="Q34" s="18"/>
      <c r="R34" s="27" t="s">
        <v>190</v>
      </c>
      <c r="S34" s="28"/>
      <c r="T34" s="28"/>
      <c r="U34" s="28"/>
      <c r="V34" s="55"/>
    </row>
    <row r="35" spans="2:22" ht="14.4" customHeight="1" x14ac:dyDescent="0.3">
      <c r="B35" s="33"/>
      <c r="C35" s="34"/>
      <c r="D35" s="34"/>
      <c r="E35" s="34"/>
      <c r="F35" s="35"/>
      <c r="G35" s="17"/>
      <c r="H35" s="17"/>
      <c r="I35" s="18"/>
      <c r="J35" s="49" t="s">
        <v>163</v>
      </c>
      <c r="K35" s="31"/>
      <c r="L35" s="31"/>
      <c r="M35" s="31"/>
      <c r="N35" s="31"/>
      <c r="O35" s="16"/>
      <c r="P35" s="17"/>
      <c r="Q35" s="18"/>
      <c r="R35" s="30" t="s">
        <v>224</v>
      </c>
      <c r="S35" s="31"/>
      <c r="T35" s="31"/>
      <c r="U35" s="31"/>
      <c r="V35" s="53"/>
    </row>
    <row r="36" spans="2:22" ht="21" x14ac:dyDescent="0.4">
      <c r="B36" s="36" t="s">
        <v>71</v>
      </c>
      <c r="C36" s="37"/>
      <c r="D36" s="37"/>
      <c r="E36" s="37"/>
      <c r="F36" s="38"/>
      <c r="G36" s="17"/>
      <c r="H36" s="17"/>
      <c r="I36" s="18"/>
      <c r="J36" s="52"/>
      <c r="K36" s="34"/>
      <c r="L36" s="34"/>
      <c r="M36" s="34"/>
      <c r="N36" s="34"/>
      <c r="O36" s="16"/>
      <c r="P36" s="17"/>
      <c r="Q36" s="18"/>
      <c r="R36" s="33"/>
      <c r="S36" s="34"/>
      <c r="T36" s="34"/>
      <c r="U36" s="34"/>
      <c r="V36" s="54"/>
    </row>
    <row r="37" spans="2:22" ht="21" x14ac:dyDescent="0.4">
      <c r="B37" s="27" t="s">
        <v>72</v>
      </c>
      <c r="C37" s="28"/>
      <c r="D37" s="28"/>
      <c r="E37" s="28"/>
      <c r="F37" s="29"/>
      <c r="G37" s="17"/>
      <c r="H37" s="17"/>
      <c r="I37" s="18"/>
      <c r="J37" s="46" t="s">
        <v>133</v>
      </c>
      <c r="K37" s="47"/>
      <c r="L37" s="47"/>
      <c r="M37" s="47"/>
      <c r="N37" s="47"/>
      <c r="O37" s="16"/>
      <c r="P37" s="17"/>
      <c r="Q37" s="18"/>
      <c r="R37" s="56" t="s">
        <v>191</v>
      </c>
      <c r="S37" s="56"/>
      <c r="T37" s="56"/>
      <c r="U37" s="56"/>
      <c r="V37" s="57"/>
    </row>
    <row r="38" spans="2:22" ht="14.4" customHeight="1" x14ac:dyDescent="0.3">
      <c r="B38" s="30" t="s">
        <v>97</v>
      </c>
      <c r="C38" s="31"/>
      <c r="D38" s="31"/>
      <c r="E38" s="31"/>
      <c r="F38" s="32"/>
      <c r="G38" s="17"/>
      <c r="H38" s="17"/>
      <c r="I38" s="18"/>
      <c r="J38" s="48" t="s">
        <v>134</v>
      </c>
      <c r="K38" s="28"/>
      <c r="L38" s="28"/>
      <c r="M38" s="28"/>
      <c r="N38" s="28"/>
      <c r="O38" s="16"/>
      <c r="P38" s="17"/>
      <c r="Q38" s="18"/>
      <c r="R38" s="27" t="s">
        <v>192</v>
      </c>
      <c r="S38" s="28"/>
      <c r="T38" s="28"/>
      <c r="U38" s="28"/>
      <c r="V38" s="55"/>
    </row>
    <row r="39" spans="2:22" ht="14.4" customHeight="1" x14ac:dyDescent="0.3">
      <c r="B39" s="58"/>
      <c r="C39" s="51"/>
      <c r="D39" s="51"/>
      <c r="E39" s="51"/>
      <c r="F39" s="59"/>
      <c r="G39" s="17"/>
      <c r="H39" s="17"/>
      <c r="I39" s="18"/>
      <c r="J39" s="49" t="s">
        <v>165</v>
      </c>
      <c r="K39" s="31"/>
      <c r="L39" s="31"/>
      <c r="M39" s="31"/>
      <c r="N39" s="31"/>
      <c r="O39" s="16"/>
      <c r="P39" s="17"/>
      <c r="Q39" s="18"/>
      <c r="R39" s="30" t="s">
        <v>225</v>
      </c>
      <c r="S39" s="31"/>
      <c r="T39" s="31"/>
      <c r="U39" s="31"/>
      <c r="V39" s="53"/>
    </row>
    <row r="40" spans="2:22" x14ac:dyDescent="0.3">
      <c r="B40" s="58"/>
      <c r="C40" s="51"/>
      <c r="D40" s="51"/>
      <c r="E40" s="51"/>
      <c r="F40" s="59"/>
      <c r="G40" s="17"/>
      <c r="H40" s="17"/>
      <c r="I40" s="18"/>
      <c r="J40" s="50"/>
      <c r="K40" s="51"/>
      <c r="L40" s="51"/>
      <c r="M40" s="51"/>
      <c r="N40" s="51"/>
      <c r="O40" s="16"/>
      <c r="P40" s="17"/>
      <c r="Q40" s="18"/>
      <c r="R40" s="58"/>
      <c r="S40" s="51"/>
      <c r="T40" s="51"/>
      <c r="U40" s="51"/>
      <c r="V40" s="69"/>
    </row>
    <row r="41" spans="2:22" x14ac:dyDescent="0.3">
      <c r="B41" s="58"/>
      <c r="C41" s="51"/>
      <c r="D41" s="51"/>
      <c r="E41" s="51"/>
      <c r="F41" s="59"/>
      <c r="G41" s="17"/>
      <c r="H41" s="17"/>
      <c r="I41" s="18"/>
      <c r="J41" s="50"/>
      <c r="K41" s="51"/>
      <c r="L41" s="51"/>
      <c r="M41" s="51"/>
      <c r="N41" s="51"/>
      <c r="O41" s="16"/>
      <c r="P41" s="17"/>
      <c r="Q41" s="18"/>
      <c r="R41" s="58"/>
      <c r="S41" s="51"/>
      <c r="T41" s="51"/>
      <c r="U41" s="51"/>
      <c r="V41" s="69"/>
    </row>
    <row r="42" spans="2:22" x14ac:dyDescent="0.3">
      <c r="B42" s="33"/>
      <c r="C42" s="34"/>
      <c r="D42" s="34"/>
      <c r="E42" s="34"/>
      <c r="F42" s="35"/>
      <c r="G42" s="17"/>
      <c r="H42" s="17"/>
      <c r="I42" s="18"/>
      <c r="J42" s="50"/>
      <c r="K42" s="51"/>
      <c r="L42" s="51"/>
      <c r="M42" s="51"/>
      <c r="N42" s="51"/>
      <c r="O42" s="16"/>
      <c r="P42" s="17"/>
      <c r="Q42" s="18"/>
      <c r="R42" s="58"/>
      <c r="S42" s="51"/>
      <c r="T42" s="51"/>
      <c r="U42" s="51"/>
      <c r="V42" s="69"/>
    </row>
    <row r="43" spans="2:22" x14ac:dyDescent="0.3">
      <c r="B43" s="27" t="s">
        <v>73</v>
      </c>
      <c r="C43" s="28"/>
      <c r="D43" s="28"/>
      <c r="E43" s="28"/>
      <c r="F43" s="29"/>
      <c r="G43" s="17"/>
      <c r="H43" s="17"/>
      <c r="I43" s="18"/>
      <c r="J43" s="52"/>
      <c r="K43" s="34"/>
      <c r="L43" s="34"/>
      <c r="M43" s="34"/>
      <c r="N43" s="34"/>
      <c r="O43" s="16"/>
      <c r="P43" s="17"/>
      <c r="Q43" s="18"/>
      <c r="R43" s="33"/>
      <c r="S43" s="34"/>
      <c r="T43" s="34"/>
      <c r="U43" s="34"/>
      <c r="V43" s="54"/>
    </row>
    <row r="44" spans="2:22" ht="14.4" customHeight="1" x14ac:dyDescent="0.3">
      <c r="B44" s="30" t="s">
        <v>98</v>
      </c>
      <c r="C44" s="31"/>
      <c r="D44" s="31"/>
      <c r="E44" s="31"/>
      <c r="F44" s="32"/>
      <c r="G44" s="17"/>
      <c r="H44" s="17"/>
      <c r="I44" s="18"/>
      <c r="J44" s="48" t="s">
        <v>166</v>
      </c>
      <c r="K44" s="28"/>
      <c r="L44" s="28"/>
      <c r="M44" s="28"/>
      <c r="N44" s="28"/>
      <c r="O44" s="16"/>
      <c r="P44" s="17"/>
      <c r="Q44" s="18"/>
      <c r="R44" s="27" t="s">
        <v>193</v>
      </c>
      <c r="S44" s="28"/>
      <c r="T44" s="28"/>
      <c r="U44" s="28"/>
      <c r="V44" s="55"/>
    </row>
    <row r="45" spans="2:22" ht="14.4" customHeight="1" x14ac:dyDescent="0.3">
      <c r="B45" s="58"/>
      <c r="C45" s="51"/>
      <c r="D45" s="51"/>
      <c r="E45" s="51"/>
      <c r="F45" s="59"/>
      <c r="G45" s="17"/>
      <c r="H45" s="17"/>
      <c r="I45" s="18"/>
      <c r="J45" s="49" t="s">
        <v>169</v>
      </c>
      <c r="K45" s="31"/>
      <c r="L45" s="31"/>
      <c r="M45" s="31"/>
      <c r="N45" s="31"/>
      <c r="O45" s="16"/>
      <c r="P45" s="17"/>
      <c r="Q45" s="18"/>
      <c r="R45" s="30" t="s">
        <v>226</v>
      </c>
      <c r="S45" s="31"/>
      <c r="T45" s="31"/>
      <c r="U45" s="31"/>
      <c r="V45" s="53"/>
    </row>
    <row r="46" spans="2:22" x14ac:dyDescent="0.3">
      <c r="B46" s="58"/>
      <c r="C46" s="51"/>
      <c r="D46" s="51"/>
      <c r="E46" s="51"/>
      <c r="F46" s="59"/>
      <c r="G46" s="17"/>
      <c r="H46" s="17"/>
      <c r="I46" s="18"/>
      <c r="J46" s="50"/>
      <c r="K46" s="51"/>
      <c r="L46" s="51"/>
      <c r="M46" s="51"/>
      <c r="N46" s="51"/>
      <c r="O46" s="16"/>
      <c r="P46" s="17"/>
      <c r="Q46" s="18"/>
      <c r="R46" s="58"/>
      <c r="S46" s="51"/>
      <c r="T46" s="51"/>
      <c r="U46" s="51"/>
      <c r="V46" s="69"/>
    </row>
    <row r="47" spans="2:22" x14ac:dyDescent="0.3">
      <c r="B47" s="58"/>
      <c r="C47" s="51"/>
      <c r="D47" s="51"/>
      <c r="E47" s="51"/>
      <c r="F47" s="59"/>
      <c r="G47" s="17"/>
      <c r="H47" s="17"/>
      <c r="I47" s="18"/>
      <c r="J47" s="50"/>
      <c r="K47" s="51"/>
      <c r="L47" s="51"/>
      <c r="M47" s="51"/>
      <c r="N47" s="51"/>
      <c r="O47" s="16"/>
      <c r="P47" s="17"/>
      <c r="Q47" s="18"/>
      <c r="R47" s="58"/>
      <c r="S47" s="51"/>
      <c r="T47" s="51"/>
      <c r="U47" s="51"/>
      <c r="V47" s="69"/>
    </row>
    <row r="48" spans="2:22" x14ac:dyDescent="0.3">
      <c r="B48" s="33"/>
      <c r="C48" s="34"/>
      <c r="D48" s="34"/>
      <c r="E48" s="34"/>
      <c r="F48" s="35"/>
      <c r="G48" s="17"/>
      <c r="H48" s="17"/>
      <c r="I48" s="18"/>
      <c r="J48" s="50"/>
      <c r="K48" s="51"/>
      <c r="L48" s="51"/>
      <c r="M48" s="51"/>
      <c r="N48" s="51"/>
      <c r="O48" s="16"/>
      <c r="P48" s="17"/>
      <c r="Q48" s="18"/>
      <c r="R48" s="58"/>
      <c r="S48" s="51"/>
      <c r="T48" s="51"/>
      <c r="U48" s="51"/>
      <c r="V48" s="69"/>
    </row>
    <row r="49" spans="2:22" x14ac:dyDescent="0.3">
      <c r="B49" s="27" t="s">
        <v>74</v>
      </c>
      <c r="C49" s="28"/>
      <c r="D49" s="28"/>
      <c r="E49" s="28"/>
      <c r="F49" s="29"/>
      <c r="G49" s="17"/>
      <c r="H49" s="17"/>
      <c r="I49" s="18"/>
      <c r="J49" s="52"/>
      <c r="K49" s="34"/>
      <c r="L49" s="34"/>
      <c r="M49" s="34"/>
      <c r="N49" s="34"/>
      <c r="O49" s="16"/>
      <c r="P49" s="17"/>
      <c r="Q49" s="18"/>
      <c r="R49" s="33"/>
      <c r="S49" s="34"/>
      <c r="T49" s="34"/>
      <c r="U49" s="34"/>
      <c r="V49" s="54"/>
    </row>
    <row r="50" spans="2:22" ht="14.4" customHeight="1" x14ac:dyDescent="0.3">
      <c r="B50" s="30" t="s">
        <v>79</v>
      </c>
      <c r="C50" s="31"/>
      <c r="D50" s="31"/>
      <c r="E50" s="31"/>
      <c r="F50" s="32"/>
      <c r="G50" s="17"/>
      <c r="H50" s="17"/>
      <c r="I50" s="18"/>
      <c r="J50" s="48" t="s">
        <v>135</v>
      </c>
      <c r="K50" s="28"/>
      <c r="L50" s="28"/>
      <c r="M50" s="28"/>
      <c r="N50" s="28"/>
      <c r="O50" s="16"/>
      <c r="P50" s="17"/>
      <c r="Q50" s="18"/>
      <c r="R50" s="27" t="s">
        <v>194</v>
      </c>
      <c r="S50" s="28"/>
      <c r="T50" s="28"/>
      <c r="U50" s="28"/>
      <c r="V50" s="55"/>
    </row>
    <row r="51" spans="2:22" ht="14.4" customHeight="1" x14ac:dyDescent="0.3">
      <c r="B51" s="33"/>
      <c r="C51" s="34"/>
      <c r="D51" s="34"/>
      <c r="E51" s="34"/>
      <c r="F51" s="35"/>
      <c r="G51" s="17"/>
      <c r="H51" s="17"/>
      <c r="I51" s="18"/>
      <c r="J51" s="49" t="s">
        <v>168</v>
      </c>
      <c r="K51" s="31"/>
      <c r="L51" s="31"/>
      <c r="M51" s="31"/>
      <c r="N51" s="31"/>
      <c r="O51" s="16"/>
      <c r="P51" s="17"/>
      <c r="Q51" s="18"/>
      <c r="R51" s="30" t="s">
        <v>228</v>
      </c>
      <c r="S51" s="31"/>
      <c r="T51" s="31"/>
      <c r="U51" s="31"/>
      <c r="V51" s="53"/>
    </row>
    <row r="52" spans="2:22" x14ac:dyDescent="0.3">
      <c r="B52" s="27" t="s">
        <v>75</v>
      </c>
      <c r="C52" s="28"/>
      <c r="D52" s="28"/>
      <c r="E52" s="28"/>
      <c r="F52" s="29"/>
      <c r="G52" s="17"/>
      <c r="H52" s="17"/>
      <c r="I52" s="18"/>
      <c r="J52" s="52"/>
      <c r="K52" s="34"/>
      <c r="L52" s="34"/>
      <c r="M52" s="34"/>
      <c r="N52" s="34"/>
      <c r="O52" s="16"/>
      <c r="P52" s="17"/>
      <c r="Q52" s="18"/>
      <c r="R52" s="33"/>
      <c r="S52" s="34"/>
      <c r="T52" s="34"/>
      <c r="U52" s="34"/>
      <c r="V52" s="54"/>
    </row>
    <row r="53" spans="2:22" ht="14.4" customHeight="1" x14ac:dyDescent="0.3">
      <c r="B53" s="30" t="s">
        <v>80</v>
      </c>
      <c r="C53" s="31"/>
      <c r="D53" s="31"/>
      <c r="E53" s="31"/>
      <c r="F53" s="32"/>
      <c r="G53" s="17"/>
      <c r="H53" s="17"/>
      <c r="I53" s="18"/>
      <c r="J53" s="48" t="s">
        <v>136</v>
      </c>
      <c r="K53" s="28"/>
      <c r="L53" s="28"/>
      <c r="M53" s="28"/>
      <c r="N53" s="28"/>
      <c r="O53" s="16"/>
      <c r="P53" s="17"/>
      <c r="Q53" s="18"/>
      <c r="R53" s="27" t="s">
        <v>195</v>
      </c>
      <c r="S53" s="28"/>
      <c r="T53" s="28"/>
      <c r="U53" s="28"/>
      <c r="V53" s="55"/>
    </row>
    <row r="54" spans="2:22" ht="14.4" customHeight="1" x14ac:dyDescent="0.3">
      <c r="B54" s="33"/>
      <c r="C54" s="34"/>
      <c r="D54" s="34"/>
      <c r="E54" s="34"/>
      <c r="F54" s="35"/>
      <c r="G54" s="17"/>
      <c r="H54" s="17"/>
      <c r="I54" s="18"/>
      <c r="J54" s="49" t="s">
        <v>167</v>
      </c>
      <c r="K54" s="31"/>
      <c r="L54" s="31"/>
      <c r="M54" s="31"/>
      <c r="N54" s="31"/>
      <c r="O54" s="16"/>
      <c r="P54" s="17"/>
      <c r="Q54" s="18"/>
      <c r="R54" s="30" t="s">
        <v>227</v>
      </c>
      <c r="S54" s="31"/>
      <c r="T54" s="31"/>
      <c r="U54" s="31"/>
      <c r="V54" s="53"/>
    </row>
    <row r="55" spans="2:22" ht="21" x14ac:dyDescent="0.4">
      <c r="B55" s="36" t="s">
        <v>83</v>
      </c>
      <c r="C55" s="37"/>
      <c r="D55" s="37"/>
      <c r="E55" s="37"/>
      <c r="F55" s="38"/>
      <c r="G55" s="17"/>
      <c r="H55" s="17"/>
      <c r="I55" s="18"/>
      <c r="J55" s="52"/>
      <c r="K55" s="34"/>
      <c r="L55" s="34"/>
      <c r="M55" s="34"/>
      <c r="N55" s="34"/>
      <c r="O55" s="16"/>
      <c r="P55" s="17"/>
      <c r="Q55" s="18"/>
      <c r="R55" s="33"/>
      <c r="S55" s="34"/>
      <c r="T55" s="34"/>
      <c r="U55" s="34"/>
      <c r="V55" s="54"/>
    </row>
    <row r="56" spans="2:22" ht="21" x14ac:dyDescent="0.4">
      <c r="B56" s="27" t="s">
        <v>84</v>
      </c>
      <c r="C56" s="28"/>
      <c r="D56" s="28"/>
      <c r="E56" s="28"/>
      <c r="F56" s="29"/>
      <c r="G56" s="17"/>
      <c r="H56" s="17"/>
      <c r="I56" s="18"/>
      <c r="J56" s="46" t="s">
        <v>170</v>
      </c>
      <c r="K56" s="47"/>
      <c r="L56" s="47"/>
      <c r="M56" s="47"/>
      <c r="N56" s="47"/>
      <c r="O56" s="16"/>
      <c r="P56" s="17"/>
      <c r="Q56" s="18"/>
      <c r="R56" s="56" t="s">
        <v>196</v>
      </c>
      <c r="S56" s="56"/>
      <c r="T56" s="56"/>
      <c r="U56" s="56"/>
      <c r="V56" s="57"/>
    </row>
    <row r="57" spans="2:22" ht="14.4" customHeight="1" x14ac:dyDescent="0.3">
      <c r="B57" s="30" t="s">
        <v>99</v>
      </c>
      <c r="C57" s="31"/>
      <c r="D57" s="31"/>
      <c r="E57" s="31"/>
      <c r="F57" s="32"/>
      <c r="G57" s="17"/>
      <c r="H57" s="17"/>
      <c r="I57" s="18"/>
      <c r="J57" s="48" t="s">
        <v>137</v>
      </c>
      <c r="K57" s="28"/>
      <c r="L57" s="28"/>
      <c r="M57" s="28"/>
      <c r="N57" s="28"/>
      <c r="O57" s="16"/>
      <c r="P57" s="17"/>
      <c r="Q57" s="18"/>
      <c r="R57" s="27" t="s">
        <v>197</v>
      </c>
      <c r="S57" s="28"/>
      <c r="T57" s="28"/>
      <c r="U57" s="28"/>
      <c r="V57" s="55"/>
    </row>
    <row r="58" spans="2:22" ht="14.4" customHeight="1" x14ac:dyDescent="0.3">
      <c r="B58" s="58"/>
      <c r="C58" s="51"/>
      <c r="D58" s="51"/>
      <c r="E58" s="51"/>
      <c r="F58" s="59"/>
      <c r="G58" s="17"/>
      <c r="H58" s="17"/>
      <c r="I58" s="18"/>
      <c r="J58" s="49" t="s">
        <v>171</v>
      </c>
      <c r="K58" s="31"/>
      <c r="L58" s="31"/>
      <c r="M58" s="31"/>
      <c r="N58" s="31"/>
      <c r="O58" s="16"/>
      <c r="P58" s="17"/>
      <c r="Q58" s="18"/>
      <c r="R58" s="30" t="s">
        <v>229</v>
      </c>
      <c r="S58" s="31"/>
      <c r="T58" s="31"/>
      <c r="U58" s="31"/>
      <c r="V58" s="53"/>
    </row>
    <row r="59" spans="2:22" x14ac:dyDescent="0.3">
      <c r="B59" s="58"/>
      <c r="C59" s="51"/>
      <c r="D59" s="51"/>
      <c r="E59" s="51"/>
      <c r="F59" s="59"/>
      <c r="G59" s="17"/>
      <c r="H59" s="17"/>
      <c r="I59" s="18"/>
      <c r="J59" s="50"/>
      <c r="K59" s="51"/>
      <c r="L59" s="51"/>
      <c r="M59" s="51"/>
      <c r="N59" s="51"/>
      <c r="O59" s="16"/>
      <c r="P59" s="17"/>
      <c r="Q59" s="18"/>
      <c r="R59" s="58"/>
      <c r="S59" s="51"/>
      <c r="T59" s="51"/>
      <c r="U59" s="51"/>
      <c r="V59" s="69"/>
    </row>
    <row r="60" spans="2:22" ht="14.4" customHeight="1" x14ac:dyDescent="0.3">
      <c r="B60" s="58"/>
      <c r="C60" s="51"/>
      <c r="D60" s="51"/>
      <c r="E60" s="51"/>
      <c r="F60" s="59"/>
      <c r="G60" s="17"/>
      <c r="H60" s="17"/>
      <c r="I60" s="18"/>
      <c r="J60" s="50"/>
      <c r="K60" s="51"/>
      <c r="L60" s="51"/>
      <c r="M60" s="51"/>
      <c r="N60" s="51"/>
      <c r="O60" s="16"/>
      <c r="P60" s="17"/>
      <c r="Q60" s="18"/>
      <c r="R60" s="58"/>
      <c r="S60" s="51"/>
      <c r="T60" s="51"/>
      <c r="U60" s="51"/>
      <c r="V60" s="69"/>
    </row>
    <row r="61" spans="2:22" x14ac:dyDescent="0.3">
      <c r="B61" s="33"/>
      <c r="C61" s="34"/>
      <c r="D61" s="34"/>
      <c r="E61" s="34"/>
      <c r="F61" s="35"/>
      <c r="G61" s="17"/>
      <c r="H61" s="17"/>
      <c r="I61" s="18"/>
      <c r="J61" s="50"/>
      <c r="K61" s="51"/>
      <c r="L61" s="51"/>
      <c r="M61" s="51"/>
      <c r="N61" s="51"/>
      <c r="O61" s="16"/>
      <c r="P61" s="17"/>
      <c r="Q61" s="18"/>
      <c r="R61" s="58"/>
      <c r="S61" s="51"/>
      <c r="T61" s="51"/>
      <c r="U61" s="51"/>
      <c r="V61" s="69"/>
    </row>
    <row r="62" spans="2:22" x14ac:dyDescent="0.3">
      <c r="B62" s="27" t="s">
        <v>85</v>
      </c>
      <c r="C62" s="28"/>
      <c r="D62" s="28"/>
      <c r="E62" s="28"/>
      <c r="F62" s="29"/>
      <c r="G62" s="17"/>
      <c r="H62" s="17"/>
      <c r="I62" s="18"/>
      <c r="J62" s="52"/>
      <c r="K62" s="34"/>
      <c r="L62" s="34"/>
      <c r="M62" s="34"/>
      <c r="N62" s="34"/>
      <c r="O62" s="16"/>
      <c r="P62" s="17"/>
      <c r="Q62" s="18"/>
      <c r="R62" s="33"/>
      <c r="S62" s="34"/>
      <c r="T62" s="34"/>
      <c r="U62" s="34"/>
      <c r="V62" s="54"/>
    </row>
    <row r="63" spans="2:22" ht="14.4" customHeight="1" x14ac:dyDescent="0.3">
      <c r="B63" s="30" t="s">
        <v>100</v>
      </c>
      <c r="C63" s="31"/>
      <c r="D63" s="31"/>
      <c r="E63" s="31"/>
      <c r="F63" s="32"/>
      <c r="G63" s="17"/>
      <c r="H63" s="17"/>
      <c r="I63" s="18"/>
      <c r="J63" s="48" t="s">
        <v>138</v>
      </c>
      <c r="K63" s="28"/>
      <c r="L63" s="28"/>
      <c r="M63" s="28"/>
      <c r="N63" s="28"/>
      <c r="O63" s="16"/>
      <c r="P63" s="17"/>
      <c r="Q63" s="18"/>
      <c r="R63" s="27" t="s">
        <v>198</v>
      </c>
      <c r="S63" s="28"/>
      <c r="T63" s="28"/>
      <c r="U63" s="28"/>
      <c r="V63" s="55"/>
    </row>
    <row r="64" spans="2:22" ht="14.4" customHeight="1" x14ac:dyDescent="0.3">
      <c r="B64" s="58"/>
      <c r="C64" s="51"/>
      <c r="D64" s="51"/>
      <c r="E64" s="51"/>
      <c r="F64" s="59"/>
      <c r="G64" s="17"/>
      <c r="H64" s="17"/>
      <c r="I64" s="18"/>
      <c r="J64" s="49" t="s">
        <v>172</v>
      </c>
      <c r="K64" s="31"/>
      <c r="L64" s="31"/>
      <c r="M64" s="31"/>
      <c r="N64" s="31"/>
      <c r="O64" s="16"/>
      <c r="P64" s="17"/>
      <c r="Q64" s="18"/>
      <c r="R64" s="30" t="s">
        <v>230</v>
      </c>
      <c r="S64" s="31"/>
      <c r="T64" s="31"/>
      <c r="U64" s="31"/>
      <c r="V64" s="53"/>
    </row>
    <row r="65" spans="2:22" x14ac:dyDescent="0.3">
      <c r="B65" s="58"/>
      <c r="C65" s="51"/>
      <c r="D65" s="51"/>
      <c r="E65" s="51"/>
      <c r="F65" s="59"/>
      <c r="G65" s="17"/>
      <c r="H65" s="17"/>
      <c r="I65" s="18"/>
      <c r="J65" s="50"/>
      <c r="K65" s="51"/>
      <c r="L65" s="51"/>
      <c r="M65" s="51"/>
      <c r="N65" s="51"/>
      <c r="O65" s="16"/>
      <c r="P65" s="17"/>
      <c r="Q65" s="18"/>
      <c r="R65" s="58"/>
      <c r="S65" s="51"/>
      <c r="T65" s="51"/>
      <c r="U65" s="51"/>
      <c r="V65" s="69"/>
    </row>
    <row r="66" spans="2:22" x14ac:dyDescent="0.3">
      <c r="B66" s="58"/>
      <c r="C66" s="51"/>
      <c r="D66" s="51"/>
      <c r="E66" s="51"/>
      <c r="F66" s="59"/>
      <c r="G66" s="17"/>
      <c r="H66" s="17"/>
      <c r="I66" s="18"/>
      <c r="J66" s="50"/>
      <c r="K66" s="51"/>
      <c r="L66" s="51"/>
      <c r="M66" s="51"/>
      <c r="N66" s="51"/>
      <c r="O66" s="16"/>
      <c r="P66" s="17"/>
      <c r="Q66" s="18"/>
      <c r="R66" s="58"/>
      <c r="S66" s="51"/>
      <c r="T66" s="51"/>
      <c r="U66" s="51"/>
      <c r="V66" s="69"/>
    </row>
    <row r="67" spans="2:22" x14ac:dyDescent="0.3">
      <c r="B67" s="33"/>
      <c r="C67" s="34"/>
      <c r="D67" s="34"/>
      <c r="E67" s="34"/>
      <c r="F67" s="35"/>
      <c r="G67" s="17"/>
      <c r="H67" s="17"/>
      <c r="I67" s="18"/>
      <c r="J67" s="50"/>
      <c r="K67" s="51"/>
      <c r="L67" s="51"/>
      <c r="M67" s="51"/>
      <c r="N67" s="51"/>
      <c r="O67" s="16"/>
      <c r="P67" s="17"/>
      <c r="Q67" s="18"/>
      <c r="R67" s="58"/>
      <c r="S67" s="51"/>
      <c r="T67" s="51"/>
      <c r="U67" s="51"/>
      <c r="V67" s="69"/>
    </row>
    <row r="68" spans="2:22" x14ac:dyDescent="0.3">
      <c r="B68" s="27" t="s">
        <v>86</v>
      </c>
      <c r="C68" s="28"/>
      <c r="D68" s="28"/>
      <c r="E68" s="28"/>
      <c r="F68" s="29"/>
      <c r="G68" s="17"/>
      <c r="H68" s="17"/>
      <c r="I68" s="18"/>
      <c r="J68" s="52"/>
      <c r="K68" s="34"/>
      <c r="L68" s="34"/>
      <c r="M68" s="34"/>
      <c r="N68" s="34"/>
      <c r="O68" s="16"/>
      <c r="P68" s="17"/>
      <c r="Q68" s="18"/>
      <c r="R68" s="33"/>
      <c r="S68" s="34"/>
      <c r="T68" s="34"/>
      <c r="U68" s="34"/>
      <c r="V68" s="54"/>
    </row>
    <row r="69" spans="2:22" ht="14.4" customHeight="1" x14ac:dyDescent="0.3">
      <c r="B69" s="30" t="s">
        <v>88</v>
      </c>
      <c r="C69" s="31"/>
      <c r="D69" s="31"/>
      <c r="E69" s="31"/>
      <c r="F69" s="32"/>
      <c r="G69" s="17"/>
      <c r="H69" s="17"/>
      <c r="I69" s="18"/>
      <c r="J69" s="48" t="s">
        <v>139</v>
      </c>
      <c r="K69" s="28"/>
      <c r="L69" s="28"/>
      <c r="M69" s="28"/>
      <c r="N69" s="28"/>
      <c r="O69" s="16"/>
      <c r="P69" s="17"/>
      <c r="Q69" s="18"/>
      <c r="R69" s="27" t="s">
        <v>199</v>
      </c>
      <c r="S69" s="28"/>
      <c r="T69" s="28"/>
      <c r="U69" s="28"/>
      <c r="V69" s="55"/>
    </row>
    <row r="70" spans="2:22" ht="14.4" customHeight="1" x14ac:dyDescent="0.3">
      <c r="B70" s="33"/>
      <c r="C70" s="34"/>
      <c r="D70" s="34"/>
      <c r="E70" s="34"/>
      <c r="F70" s="35"/>
      <c r="G70" s="17"/>
      <c r="H70" s="17"/>
      <c r="I70" s="18"/>
      <c r="J70" s="49" t="s">
        <v>173</v>
      </c>
      <c r="K70" s="31"/>
      <c r="L70" s="31"/>
      <c r="M70" s="31"/>
      <c r="N70" s="31"/>
      <c r="O70" s="16"/>
      <c r="P70" s="17"/>
      <c r="Q70" s="18"/>
      <c r="R70" s="30" t="s">
        <v>231</v>
      </c>
      <c r="S70" s="31"/>
      <c r="T70" s="31"/>
      <c r="U70" s="31"/>
      <c r="V70" s="53"/>
    </row>
    <row r="71" spans="2:22" x14ac:dyDescent="0.3">
      <c r="B71" s="27" t="s">
        <v>87</v>
      </c>
      <c r="C71" s="28"/>
      <c r="D71" s="28"/>
      <c r="E71" s="28"/>
      <c r="F71" s="29"/>
      <c r="G71" s="17"/>
      <c r="H71" s="17"/>
      <c r="I71" s="18"/>
      <c r="J71" s="52"/>
      <c r="K71" s="34"/>
      <c r="L71" s="34"/>
      <c r="M71" s="34"/>
      <c r="N71" s="34"/>
      <c r="O71" s="16"/>
      <c r="P71" s="17"/>
      <c r="Q71" s="18"/>
      <c r="R71" s="33"/>
      <c r="S71" s="34"/>
      <c r="T71" s="34"/>
      <c r="U71" s="34"/>
      <c r="V71" s="54"/>
    </row>
    <row r="72" spans="2:22" ht="14.4" customHeight="1" x14ac:dyDescent="0.3">
      <c r="B72" s="30" t="s">
        <v>89</v>
      </c>
      <c r="C72" s="31"/>
      <c r="D72" s="31"/>
      <c r="E72" s="31"/>
      <c r="F72" s="32"/>
      <c r="G72" s="17"/>
      <c r="H72" s="17"/>
      <c r="I72" s="18"/>
      <c r="J72" s="48" t="s">
        <v>140</v>
      </c>
      <c r="K72" s="28"/>
      <c r="L72" s="28"/>
      <c r="M72" s="28"/>
      <c r="N72" s="28"/>
      <c r="O72" s="16"/>
      <c r="P72" s="17"/>
      <c r="Q72" s="18"/>
      <c r="R72" s="27" t="s">
        <v>200</v>
      </c>
      <c r="S72" s="28"/>
      <c r="T72" s="28"/>
      <c r="U72" s="28"/>
      <c r="V72" s="55"/>
    </row>
    <row r="73" spans="2:22" ht="14.4" customHeight="1" x14ac:dyDescent="0.3">
      <c r="B73" s="33"/>
      <c r="C73" s="34"/>
      <c r="D73" s="34"/>
      <c r="E73" s="34"/>
      <c r="F73" s="35"/>
      <c r="G73" s="17"/>
      <c r="H73" s="17"/>
      <c r="I73" s="18"/>
      <c r="J73" s="49" t="s">
        <v>174</v>
      </c>
      <c r="K73" s="31"/>
      <c r="L73" s="31"/>
      <c r="M73" s="31"/>
      <c r="N73" s="31"/>
      <c r="O73" s="16"/>
      <c r="P73" s="17"/>
      <c r="Q73" s="18"/>
      <c r="R73" s="30" t="s">
        <v>232</v>
      </c>
      <c r="S73" s="31"/>
      <c r="T73" s="31"/>
      <c r="U73" s="31"/>
      <c r="V73" s="53"/>
    </row>
    <row r="74" spans="2:22" ht="21" x14ac:dyDescent="0.4">
      <c r="B74" s="36" t="s">
        <v>90</v>
      </c>
      <c r="C74" s="37"/>
      <c r="D74" s="37"/>
      <c r="E74" s="37"/>
      <c r="F74" s="38"/>
      <c r="G74" s="17"/>
      <c r="H74" s="17"/>
      <c r="I74" s="18"/>
      <c r="J74" s="52"/>
      <c r="K74" s="34"/>
      <c r="L74" s="34"/>
      <c r="M74" s="34"/>
      <c r="N74" s="34"/>
      <c r="O74" s="16"/>
      <c r="P74" s="17"/>
      <c r="Q74" s="18"/>
      <c r="R74" s="33"/>
      <c r="S74" s="34"/>
      <c r="T74" s="34"/>
      <c r="U74" s="34"/>
      <c r="V74" s="54"/>
    </row>
    <row r="75" spans="2:22" ht="21" x14ac:dyDescent="0.4">
      <c r="B75" s="27" t="s">
        <v>91</v>
      </c>
      <c r="C75" s="28"/>
      <c r="D75" s="28"/>
      <c r="E75" s="28"/>
      <c r="F75" s="29"/>
      <c r="G75" s="17"/>
      <c r="H75" s="17"/>
      <c r="I75" s="18"/>
      <c r="J75" s="46" t="s">
        <v>141</v>
      </c>
      <c r="K75" s="47"/>
      <c r="L75" s="47"/>
      <c r="M75" s="47"/>
      <c r="N75" s="47"/>
      <c r="O75" s="16"/>
      <c r="P75" s="17"/>
      <c r="Q75" s="18"/>
      <c r="R75" s="56" t="s">
        <v>201</v>
      </c>
      <c r="S75" s="56"/>
      <c r="T75" s="56"/>
      <c r="U75" s="56"/>
      <c r="V75" s="57"/>
    </row>
    <row r="76" spans="2:22" ht="14.4" customHeight="1" x14ac:dyDescent="0.3">
      <c r="B76" s="30" t="s">
        <v>102</v>
      </c>
      <c r="C76" s="31"/>
      <c r="D76" s="31"/>
      <c r="E76" s="31"/>
      <c r="F76" s="32"/>
      <c r="G76" s="17"/>
      <c r="H76" s="17"/>
      <c r="I76" s="18"/>
      <c r="J76" s="48" t="s">
        <v>142</v>
      </c>
      <c r="K76" s="28"/>
      <c r="L76" s="28"/>
      <c r="M76" s="28"/>
      <c r="N76" s="28"/>
      <c r="O76" s="16"/>
      <c r="P76" s="17"/>
      <c r="Q76" s="18"/>
      <c r="R76" s="27" t="s">
        <v>202</v>
      </c>
      <c r="S76" s="28"/>
      <c r="T76" s="28"/>
      <c r="U76" s="28"/>
      <c r="V76" s="55"/>
    </row>
    <row r="77" spans="2:22" ht="14.4" customHeight="1" x14ac:dyDescent="0.3">
      <c r="B77" s="33"/>
      <c r="C77" s="34"/>
      <c r="D77" s="34"/>
      <c r="E77" s="34"/>
      <c r="F77" s="35"/>
      <c r="G77" s="17"/>
      <c r="H77" s="17"/>
      <c r="I77" s="18"/>
      <c r="J77" s="49" t="s">
        <v>176</v>
      </c>
      <c r="K77" s="31"/>
      <c r="L77" s="31"/>
      <c r="M77" s="31"/>
      <c r="N77" s="31"/>
      <c r="O77" s="16"/>
      <c r="P77" s="17"/>
      <c r="Q77" s="18"/>
      <c r="R77" s="30" t="s">
        <v>233</v>
      </c>
      <c r="S77" s="31"/>
      <c r="T77" s="31"/>
      <c r="U77" s="31"/>
      <c r="V77" s="53"/>
    </row>
    <row r="78" spans="2:22" x14ac:dyDescent="0.3">
      <c r="B78" s="27" t="s">
        <v>92</v>
      </c>
      <c r="C78" s="28"/>
      <c r="D78" s="28"/>
      <c r="E78" s="28"/>
      <c r="F78" s="29"/>
      <c r="G78" s="17"/>
      <c r="H78" s="17"/>
      <c r="I78" s="18"/>
      <c r="J78" s="52"/>
      <c r="K78" s="34"/>
      <c r="L78" s="34"/>
      <c r="M78" s="34"/>
      <c r="N78" s="34"/>
      <c r="O78" s="16"/>
      <c r="P78" s="17"/>
      <c r="Q78" s="18"/>
      <c r="R78" s="33"/>
      <c r="S78" s="34"/>
      <c r="T78" s="34"/>
      <c r="U78" s="34"/>
      <c r="V78" s="54"/>
    </row>
    <row r="79" spans="2:22" ht="14.4" customHeight="1" x14ac:dyDescent="0.3">
      <c r="B79" s="30" t="s">
        <v>118</v>
      </c>
      <c r="C79" s="31"/>
      <c r="D79" s="31"/>
      <c r="E79" s="31"/>
      <c r="F79" s="32"/>
      <c r="G79" s="17"/>
      <c r="H79" s="17"/>
      <c r="I79" s="18"/>
      <c r="J79" s="48" t="s">
        <v>143</v>
      </c>
      <c r="K79" s="28"/>
      <c r="L79" s="28"/>
      <c r="M79" s="28"/>
      <c r="N79" s="28"/>
      <c r="O79" s="16"/>
      <c r="P79" s="17"/>
      <c r="Q79" s="18"/>
      <c r="R79" s="27" t="s">
        <v>203</v>
      </c>
      <c r="S79" s="28"/>
      <c r="T79" s="28"/>
      <c r="U79" s="28"/>
      <c r="V79" s="55"/>
    </row>
    <row r="80" spans="2:22" ht="14.4" customHeight="1" x14ac:dyDescent="0.3">
      <c r="B80" s="33"/>
      <c r="C80" s="34"/>
      <c r="D80" s="34"/>
      <c r="E80" s="34"/>
      <c r="F80" s="35"/>
      <c r="G80" s="17"/>
      <c r="H80" s="17"/>
      <c r="I80" s="18"/>
      <c r="J80" s="49" t="s">
        <v>175</v>
      </c>
      <c r="K80" s="31"/>
      <c r="L80" s="31"/>
      <c r="M80" s="31"/>
      <c r="N80" s="31"/>
      <c r="O80" s="16"/>
      <c r="P80" s="17"/>
      <c r="Q80" s="18"/>
      <c r="R80" s="30" t="s">
        <v>234</v>
      </c>
      <c r="S80" s="31"/>
      <c r="T80" s="31"/>
      <c r="U80" s="31"/>
      <c r="V80" s="53"/>
    </row>
    <row r="81" spans="2:22" x14ac:dyDescent="0.3">
      <c r="B81" s="27" t="s">
        <v>104</v>
      </c>
      <c r="C81" s="28"/>
      <c r="D81" s="28"/>
      <c r="E81" s="28"/>
      <c r="F81" s="29"/>
      <c r="G81" s="17"/>
      <c r="H81" s="17"/>
      <c r="I81" s="18"/>
      <c r="J81" s="52"/>
      <c r="K81" s="34"/>
      <c r="L81" s="34"/>
      <c r="M81" s="34"/>
      <c r="N81" s="34"/>
      <c r="O81" s="16"/>
      <c r="P81" s="17"/>
      <c r="Q81" s="18"/>
      <c r="R81" s="33"/>
      <c r="S81" s="34"/>
      <c r="T81" s="34"/>
      <c r="U81" s="34"/>
      <c r="V81" s="54"/>
    </row>
    <row r="82" spans="2:22" ht="14.4" customHeight="1" x14ac:dyDescent="0.3">
      <c r="B82" s="30" t="s">
        <v>103</v>
      </c>
      <c r="C82" s="31"/>
      <c r="D82" s="31"/>
      <c r="E82" s="31"/>
      <c r="F82" s="32"/>
      <c r="G82" s="17"/>
      <c r="H82" s="17"/>
      <c r="I82" s="18"/>
      <c r="J82" s="48" t="s">
        <v>144</v>
      </c>
      <c r="K82" s="28"/>
      <c r="L82" s="28"/>
      <c r="M82" s="28"/>
      <c r="N82" s="28"/>
      <c r="O82" s="16"/>
      <c r="P82" s="17"/>
      <c r="Q82" s="18"/>
      <c r="R82" s="27" t="s">
        <v>204</v>
      </c>
      <c r="S82" s="28"/>
      <c r="T82" s="28"/>
      <c r="U82" s="28"/>
      <c r="V82" s="55"/>
    </row>
    <row r="83" spans="2:22" ht="14.4" customHeight="1" x14ac:dyDescent="0.3">
      <c r="B83" s="33"/>
      <c r="C83" s="34"/>
      <c r="D83" s="34"/>
      <c r="E83" s="34"/>
      <c r="F83" s="35"/>
      <c r="G83" s="17"/>
      <c r="H83" s="17"/>
      <c r="I83" s="18"/>
      <c r="J83" s="49" t="s">
        <v>103</v>
      </c>
      <c r="K83" s="31"/>
      <c r="L83" s="31"/>
      <c r="M83" s="31"/>
      <c r="N83" s="31"/>
      <c r="O83" s="16"/>
      <c r="P83" s="17"/>
      <c r="Q83" s="18"/>
      <c r="R83" s="30" t="s">
        <v>235</v>
      </c>
      <c r="S83" s="31"/>
      <c r="T83" s="31"/>
      <c r="U83" s="31"/>
      <c r="V83" s="53"/>
    </row>
    <row r="84" spans="2:22" x14ac:dyDescent="0.3">
      <c r="B84" s="27" t="s">
        <v>105</v>
      </c>
      <c r="C84" s="28"/>
      <c r="D84" s="28"/>
      <c r="E84" s="28"/>
      <c r="F84" s="29"/>
      <c r="G84" s="17"/>
      <c r="H84" s="17"/>
      <c r="I84" s="18"/>
      <c r="J84" s="52"/>
      <c r="K84" s="34"/>
      <c r="L84" s="34"/>
      <c r="M84" s="34"/>
      <c r="N84" s="34"/>
      <c r="O84" s="16"/>
      <c r="P84" s="17"/>
      <c r="Q84" s="18"/>
      <c r="R84" s="33"/>
      <c r="S84" s="34"/>
      <c r="T84" s="34"/>
      <c r="U84" s="34"/>
      <c r="V84" s="54"/>
    </row>
    <row r="85" spans="2:22" ht="14.4" customHeight="1" x14ac:dyDescent="0.3">
      <c r="B85" s="30" t="s">
        <v>119</v>
      </c>
      <c r="C85" s="31"/>
      <c r="D85" s="31"/>
      <c r="E85" s="31"/>
      <c r="F85" s="32"/>
      <c r="G85" s="17"/>
      <c r="H85" s="17"/>
      <c r="I85" s="18"/>
      <c r="J85" s="48" t="s">
        <v>145</v>
      </c>
      <c r="K85" s="28"/>
      <c r="L85" s="28"/>
      <c r="M85" s="28"/>
      <c r="N85" s="28"/>
      <c r="O85" s="16"/>
      <c r="P85" s="17"/>
      <c r="Q85" s="18"/>
      <c r="R85" s="27" t="s">
        <v>205</v>
      </c>
      <c r="S85" s="28"/>
      <c r="T85" s="28"/>
      <c r="U85" s="28"/>
      <c r="V85" s="55"/>
    </row>
    <row r="86" spans="2:22" ht="14.4" customHeight="1" x14ac:dyDescent="0.3">
      <c r="B86" s="33"/>
      <c r="C86" s="34"/>
      <c r="D86" s="34"/>
      <c r="E86" s="34"/>
      <c r="F86" s="35"/>
      <c r="G86" s="17"/>
      <c r="H86" s="17"/>
      <c r="I86" s="18"/>
      <c r="J86" s="49" t="s">
        <v>119</v>
      </c>
      <c r="K86" s="31"/>
      <c r="L86" s="31"/>
      <c r="M86" s="31"/>
      <c r="N86" s="31"/>
      <c r="O86" s="16"/>
      <c r="P86" s="17"/>
      <c r="Q86" s="18"/>
      <c r="R86" s="30" t="s">
        <v>119</v>
      </c>
      <c r="S86" s="31"/>
      <c r="T86" s="31"/>
      <c r="U86" s="31"/>
      <c r="V86" s="53"/>
    </row>
    <row r="87" spans="2:22" ht="21" x14ac:dyDescent="0.4">
      <c r="B87" s="36" t="s">
        <v>106</v>
      </c>
      <c r="C87" s="37"/>
      <c r="D87" s="37"/>
      <c r="E87" s="37"/>
      <c r="F87" s="38"/>
      <c r="G87" s="17"/>
      <c r="H87" s="17"/>
      <c r="I87" s="18"/>
      <c r="J87" s="52"/>
      <c r="K87" s="34"/>
      <c r="L87" s="34"/>
      <c r="M87" s="34"/>
      <c r="N87" s="34"/>
      <c r="O87" s="16"/>
      <c r="P87" s="17"/>
      <c r="Q87" s="18"/>
      <c r="R87" s="33"/>
      <c r="S87" s="34"/>
      <c r="T87" s="34"/>
      <c r="U87" s="34"/>
      <c r="V87" s="54"/>
    </row>
    <row r="88" spans="2:22" ht="21" x14ac:dyDescent="0.4">
      <c r="B88" s="27" t="s">
        <v>107</v>
      </c>
      <c r="C88" s="28"/>
      <c r="D88" s="28"/>
      <c r="E88" s="28"/>
      <c r="F88" s="29"/>
      <c r="G88" s="17"/>
      <c r="H88" s="17"/>
      <c r="I88" s="18"/>
      <c r="J88" s="46" t="s">
        <v>146</v>
      </c>
      <c r="K88" s="47"/>
      <c r="L88" s="47"/>
      <c r="M88" s="47"/>
      <c r="N88" s="47"/>
      <c r="O88" s="16"/>
      <c r="P88" s="17"/>
      <c r="Q88" s="18"/>
      <c r="R88" s="56" t="s">
        <v>206</v>
      </c>
      <c r="S88" s="56"/>
      <c r="T88" s="56"/>
      <c r="U88" s="56"/>
      <c r="V88" s="57"/>
    </row>
    <row r="89" spans="2:22" ht="14.4" customHeight="1" x14ac:dyDescent="0.3">
      <c r="B89" s="30" t="s">
        <v>102</v>
      </c>
      <c r="C89" s="31"/>
      <c r="D89" s="31"/>
      <c r="E89" s="31"/>
      <c r="F89" s="32"/>
      <c r="G89" s="17"/>
      <c r="H89" s="17"/>
      <c r="I89" s="18"/>
      <c r="J89" s="48" t="s">
        <v>147</v>
      </c>
      <c r="K89" s="28"/>
      <c r="L89" s="28"/>
      <c r="M89" s="28"/>
      <c r="N89" s="28"/>
      <c r="O89" s="16"/>
      <c r="P89" s="17"/>
      <c r="Q89" s="18"/>
      <c r="R89" s="27" t="s">
        <v>207</v>
      </c>
      <c r="S89" s="28"/>
      <c r="T89" s="28"/>
      <c r="U89" s="28"/>
      <c r="V89" s="55"/>
    </row>
    <row r="90" spans="2:22" ht="14.4" customHeight="1" x14ac:dyDescent="0.3">
      <c r="B90" s="33"/>
      <c r="C90" s="34"/>
      <c r="D90" s="34"/>
      <c r="E90" s="34"/>
      <c r="F90" s="35"/>
      <c r="G90" s="17"/>
      <c r="H90" s="17"/>
      <c r="I90" s="18"/>
      <c r="J90" s="49" t="s">
        <v>176</v>
      </c>
      <c r="K90" s="31"/>
      <c r="L90" s="31"/>
      <c r="M90" s="31"/>
      <c r="N90" s="31"/>
      <c r="O90" s="16"/>
      <c r="P90" s="17"/>
      <c r="Q90" s="18"/>
      <c r="R90" s="30" t="s">
        <v>233</v>
      </c>
      <c r="S90" s="31"/>
      <c r="T90" s="31"/>
      <c r="U90" s="31"/>
      <c r="V90" s="53"/>
    </row>
    <row r="91" spans="2:22" x14ac:dyDescent="0.3">
      <c r="B91" s="27" t="s">
        <v>108</v>
      </c>
      <c r="C91" s="28"/>
      <c r="D91" s="28"/>
      <c r="E91" s="28"/>
      <c r="F91" s="29"/>
      <c r="G91" s="17"/>
      <c r="H91" s="17"/>
      <c r="I91" s="18"/>
      <c r="J91" s="52"/>
      <c r="K91" s="34"/>
      <c r="L91" s="34"/>
      <c r="M91" s="34"/>
      <c r="N91" s="34"/>
      <c r="O91" s="16"/>
      <c r="P91" s="17"/>
      <c r="Q91" s="18"/>
      <c r="R91" s="33"/>
      <c r="S91" s="34"/>
      <c r="T91" s="34"/>
      <c r="U91" s="34"/>
      <c r="V91" s="54"/>
    </row>
    <row r="92" spans="2:22" x14ac:dyDescent="0.3">
      <c r="B92" s="39" t="s">
        <v>109</v>
      </c>
      <c r="C92" s="40"/>
      <c r="D92" s="40"/>
      <c r="E92" s="40"/>
      <c r="F92" s="41"/>
      <c r="G92" s="17"/>
      <c r="H92" s="17"/>
      <c r="I92" s="18"/>
      <c r="J92" s="48" t="s">
        <v>148</v>
      </c>
      <c r="K92" s="28"/>
      <c r="L92" s="28"/>
      <c r="M92" s="28"/>
      <c r="N92" s="28"/>
      <c r="O92" s="16"/>
      <c r="P92" s="17"/>
      <c r="Q92" s="18"/>
      <c r="R92" s="27" t="s">
        <v>208</v>
      </c>
      <c r="S92" s="28"/>
      <c r="T92" s="28"/>
      <c r="U92" s="28"/>
      <c r="V92" s="55"/>
    </row>
    <row r="93" spans="2:22" x14ac:dyDescent="0.3">
      <c r="B93" s="27" t="s">
        <v>110</v>
      </c>
      <c r="C93" s="28"/>
      <c r="D93" s="28"/>
      <c r="E93" s="28"/>
      <c r="F93" s="29"/>
      <c r="G93" s="17"/>
      <c r="H93" s="17"/>
      <c r="I93" s="18"/>
      <c r="J93" s="77" t="s">
        <v>177</v>
      </c>
      <c r="K93" s="40"/>
      <c r="L93" s="40"/>
      <c r="M93" s="40"/>
      <c r="N93" s="40"/>
      <c r="O93" s="16"/>
      <c r="P93" s="17"/>
      <c r="Q93" s="18"/>
      <c r="R93" s="39" t="s">
        <v>236</v>
      </c>
      <c r="S93" s="40"/>
      <c r="T93" s="40"/>
      <c r="U93" s="40"/>
      <c r="V93" s="70"/>
    </row>
    <row r="94" spans="2:22" ht="14.4" customHeight="1" x14ac:dyDescent="0.3">
      <c r="B94" s="30" t="s">
        <v>237</v>
      </c>
      <c r="C94" s="31"/>
      <c r="D94" s="31"/>
      <c r="E94" s="31"/>
      <c r="F94" s="32"/>
      <c r="G94" s="17"/>
      <c r="H94" s="17"/>
      <c r="I94" s="18"/>
      <c r="J94" s="48" t="s">
        <v>149</v>
      </c>
      <c r="K94" s="28"/>
      <c r="L94" s="28"/>
      <c r="M94" s="28"/>
      <c r="N94" s="28"/>
      <c r="O94" s="16"/>
      <c r="P94" s="17"/>
      <c r="Q94" s="18"/>
      <c r="R94" s="27" t="s">
        <v>209</v>
      </c>
      <c r="S94" s="28"/>
      <c r="T94" s="28"/>
      <c r="U94" s="28"/>
      <c r="V94" s="55"/>
    </row>
    <row r="95" spans="2:22" ht="14.4" customHeight="1" x14ac:dyDescent="0.3">
      <c r="B95" s="33"/>
      <c r="C95" s="34"/>
      <c r="D95" s="34"/>
      <c r="E95" s="34"/>
      <c r="F95" s="35"/>
      <c r="G95" s="17"/>
      <c r="H95" s="17"/>
      <c r="I95" s="18"/>
      <c r="J95" s="49" t="s">
        <v>237</v>
      </c>
      <c r="K95" s="31"/>
      <c r="L95" s="31"/>
      <c r="M95" s="31"/>
      <c r="N95" s="31"/>
      <c r="O95" s="16"/>
      <c r="P95" s="17"/>
      <c r="Q95" s="18"/>
      <c r="R95" s="30" t="s">
        <v>238</v>
      </c>
      <c r="S95" s="31"/>
      <c r="T95" s="31"/>
      <c r="U95" s="31"/>
      <c r="V95" s="53"/>
    </row>
    <row r="96" spans="2:22" x14ac:dyDescent="0.3">
      <c r="B96" s="27" t="s">
        <v>111</v>
      </c>
      <c r="C96" s="28"/>
      <c r="D96" s="28"/>
      <c r="E96" s="28"/>
      <c r="F96" s="29"/>
      <c r="G96" s="17"/>
      <c r="H96" s="17"/>
      <c r="I96" s="18"/>
      <c r="J96" s="52"/>
      <c r="K96" s="34"/>
      <c r="L96" s="34"/>
      <c r="M96" s="34"/>
      <c r="N96" s="34"/>
      <c r="O96" s="16"/>
      <c r="P96" s="17"/>
      <c r="Q96" s="18"/>
      <c r="R96" s="33"/>
      <c r="S96" s="34"/>
      <c r="T96" s="34"/>
      <c r="U96" s="34"/>
      <c r="V96" s="54"/>
    </row>
    <row r="97" spans="2:22" ht="14.4" customHeight="1" x14ac:dyDescent="0.3">
      <c r="B97" s="30" t="s">
        <v>119</v>
      </c>
      <c r="C97" s="31"/>
      <c r="D97" s="31"/>
      <c r="E97" s="31"/>
      <c r="F97" s="32"/>
      <c r="G97" s="17"/>
      <c r="H97" s="17"/>
      <c r="I97" s="18"/>
      <c r="J97" s="48" t="s">
        <v>150</v>
      </c>
      <c r="K97" s="28"/>
      <c r="L97" s="28"/>
      <c r="M97" s="28"/>
      <c r="N97" s="28"/>
      <c r="O97" s="16"/>
      <c r="P97" s="17"/>
      <c r="Q97" s="18"/>
      <c r="R97" s="27" t="s">
        <v>210</v>
      </c>
      <c r="S97" s="28"/>
      <c r="T97" s="28"/>
      <c r="U97" s="28"/>
      <c r="V97" s="55"/>
    </row>
    <row r="98" spans="2:22" ht="14.4" customHeight="1" x14ac:dyDescent="0.3">
      <c r="B98" s="33"/>
      <c r="C98" s="34"/>
      <c r="D98" s="34"/>
      <c r="E98" s="34"/>
      <c r="F98" s="35"/>
      <c r="G98" s="17"/>
      <c r="H98" s="17"/>
      <c r="I98" s="18"/>
      <c r="J98" s="49" t="s">
        <v>119</v>
      </c>
      <c r="K98" s="31"/>
      <c r="L98" s="31"/>
      <c r="M98" s="31"/>
      <c r="N98" s="31"/>
      <c r="O98" s="16"/>
      <c r="P98" s="17"/>
      <c r="Q98" s="18"/>
      <c r="R98" s="30" t="s">
        <v>239</v>
      </c>
      <c r="S98" s="31"/>
      <c r="T98" s="31"/>
      <c r="U98" s="31"/>
      <c r="V98" s="53"/>
    </row>
    <row r="99" spans="2:22" ht="21" x14ac:dyDescent="0.4">
      <c r="B99" s="36" t="s">
        <v>112</v>
      </c>
      <c r="C99" s="37"/>
      <c r="D99" s="37"/>
      <c r="E99" s="37"/>
      <c r="F99" s="38"/>
      <c r="G99" s="17"/>
      <c r="H99" s="17"/>
      <c r="I99" s="18"/>
      <c r="J99" s="52"/>
      <c r="K99" s="34"/>
      <c r="L99" s="34"/>
      <c r="M99" s="34"/>
      <c r="N99" s="34"/>
      <c r="O99" s="16"/>
      <c r="P99" s="17"/>
      <c r="Q99" s="18"/>
      <c r="R99" s="33"/>
      <c r="S99" s="34"/>
      <c r="T99" s="34"/>
      <c r="U99" s="34"/>
      <c r="V99" s="54"/>
    </row>
    <row r="100" spans="2:22" ht="21" x14ac:dyDescent="0.4">
      <c r="B100" s="27" t="s">
        <v>113</v>
      </c>
      <c r="C100" s="28"/>
      <c r="D100" s="28"/>
      <c r="E100" s="28"/>
      <c r="F100" s="29"/>
      <c r="G100" s="17"/>
      <c r="H100" s="17"/>
      <c r="I100" s="18"/>
      <c r="J100" s="46" t="s">
        <v>151</v>
      </c>
      <c r="K100" s="47"/>
      <c r="L100" s="47"/>
      <c r="M100" s="47"/>
      <c r="N100" s="47"/>
      <c r="O100" s="16"/>
      <c r="P100" s="17"/>
      <c r="Q100" s="18"/>
      <c r="R100" s="56" t="s">
        <v>211</v>
      </c>
      <c r="S100" s="56"/>
      <c r="T100" s="56"/>
      <c r="U100" s="56"/>
      <c r="V100" s="57"/>
    </row>
    <row r="101" spans="2:22" ht="14.4" customHeight="1" x14ac:dyDescent="0.3">
      <c r="B101" s="30" t="s">
        <v>102</v>
      </c>
      <c r="C101" s="31"/>
      <c r="D101" s="31"/>
      <c r="E101" s="31"/>
      <c r="F101" s="32"/>
      <c r="G101" s="17"/>
      <c r="H101" s="17"/>
      <c r="I101" s="18"/>
      <c r="J101" s="48" t="s">
        <v>152</v>
      </c>
      <c r="K101" s="28"/>
      <c r="L101" s="28"/>
      <c r="M101" s="28"/>
      <c r="N101" s="28"/>
      <c r="O101" s="16"/>
      <c r="P101" s="17"/>
      <c r="Q101" s="18"/>
      <c r="R101" s="27" t="s">
        <v>212</v>
      </c>
      <c r="S101" s="28"/>
      <c r="T101" s="28"/>
      <c r="U101" s="28"/>
      <c r="V101" s="55"/>
    </row>
    <row r="102" spans="2:22" ht="21" customHeight="1" x14ac:dyDescent="0.3">
      <c r="B102" s="33"/>
      <c r="C102" s="34"/>
      <c r="D102" s="34"/>
      <c r="E102" s="34"/>
      <c r="F102" s="35"/>
      <c r="G102" s="17"/>
      <c r="H102" s="17"/>
      <c r="I102" s="18"/>
      <c r="J102" s="49" t="s">
        <v>176</v>
      </c>
      <c r="K102" s="31"/>
      <c r="L102" s="31"/>
      <c r="M102" s="31"/>
      <c r="N102" s="31"/>
      <c r="O102" s="16"/>
      <c r="P102" s="17"/>
      <c r="Q102" s="18"/>
      <c r="R102" s="30" t="s">
        <v>233</v>
      </c>
      <c r="S102" s="31"/>
      <c r="T102" s="31"/>
      <c r="U102" s="31"/>
      <c r="V102" s="53"/>
    </row>
    <row r="103" spans="2:22" x14ac:dyDescent="0.3">
      <c r="B103" s="27" t="s">
        <v>114</v>
      </c>
      <c r="C103" s="28"/>
      <c r="D103" s="28"/>
      <c r="E103" s="28"/>
      <c r="F103" s="29"/>
      <c r="G103" s="17"/>
      <c r="H103" s="17"/>
      <c r="I103" s="18"/>
      <c r="J103" s="52"/>
      <c r="K103" s="34"/>
      <c r="L103" s="34"/>
      <c r="M103" s="34"/>
      <c r="N103" s="34"/>
      <c r="O103" s="16"/>
      <c r="P103" s="17"/>
      <c r="Q103" s="18"/>
      <c r="R103" s="33"/>
      <c r="S103" s="34"/>
      <c r="T103" s="34"/>
      <c r="U103" s="34"/>
      <c r="V103" s="54"/>
    </row>
    <row r="104" spans="2:22" x14ac:dyDescent="0.3">
      <c r="B104" s="39" t="s">
        <v>116</v>
      </c>
      <c r="C104" s="40"/>
      <c r="D104" s="40"/>
      <c r="E104" s="40"/>
      <c r="F104" s="41"/>
      <c r="G104" s="17"/>
      <c r="H104" s="17"/>
      <c r="I104" s="18"/>
      <c r="J104" s="48" t="s">
        <v>153</v>
      </c>
      <c r="K104" s="28"/>
      <c r="L104" s="28"/>
      <c r="M104" s="28"/>
      <c r="N104" s="28"/>
      <c r="O104" s="16"/>
      <c r="P104" s="17"/>
      <c r="Q104" s="18"/>
      <c r="R104" s="27" t="s">
        <v>213</v>
      </c>
      <c r="S104" s="28"/>
      <c r="T104" s="28"/>
      <c r="U104" s="28"/>
      <c r="V104" s="55"/>
    </row>
    <row r="105" spans="2:22" x14ac:dyDescent="0.3">
      <c r="B105" s="27" t="s">
        <v>115</v>
      </c>
      <c r="C105" s="28"/>
      <c r="D105" s="28"/>
      <c r="E105" s="28"/>
      <c r="F105" s="29"/>
      <c r="G105" s="17"/>
      <c r="H105" s="17"/>
      <c r="I105" s="18"/>
      <c r="J105" s="77" t="s">
        <v>177</v>
      </c>
      <c r="K105" s="40"/>
      <c r="L105" s="40"/>
      <c r="M105" s="40"/>
      <c r="N105" s="40"/>
      <c r="O105" s="16"/>
      <c r="P105" s="17"/>
      <c r="Q105" s="18"/>
      <c r="R105" s="39" t="s">
        <v>236</v>
      </c>
      <c r="S105" s="40"/>
      <c r="T105" s="40"/>
      <c r="U105" s="40"/>
      <c r="V105" s="70"/>
    </row>
    <row r="106" spans="2:22" ht="14.4" customHeight="1" x14ac:dyDescent="0.3">
      <c r="B106" s="66" t="s">
        <v>117</v>
      </c>
      <c r="C106" s="67"/>
      <c r="D106" s="67"/>
      <c r="E106" s="67"/>
      <c r="F106" s="68"/>
      <c r="G106" s="17"/>
      <c r="H106" s="17"/>
      <c r="I106" s="18"/>
      <c r="J106" s="48" t="s">
        <v>154</v>
      </c>
      <c r="K106" s="28"/>
      <c r="L106" s="28"/>
      <c r="M106" s="28"/>
      <c r="N106" s="28"/>
      <c r="O106" s="16"/>
      <c r="P106" s="17"/>
      <c r="Q106" s="18"/>
      <c r="R106" s="27" t="s">
        <v>214</v>
      </c>
      <c r="S106" s="28"/>
      <c r="T106" s="28"/>
      <c r="U106" s="28"/>
      <c r="V106" s="55"/>
    </row>
    <row r="107" spans="2:22" ht="14.4" customHeight="1" x14ac:dyDescent="0.3">
      <c r="B107" s="27" t="s">
        <v>120</v>
      </c>
      <c r="C107" s="28"/>
      <c r="D107" s="28"/>
      <c r="E107" s="28"/>
      <c r="F107" s="29"/>
      <c r="G107" s="17"/>
      <c r="H107" s="17"/>
      <c r="I107" s="18"/>
      <c r="J107" s="75" t="s">
        <v>178</v>
      </c>
      <c r="K107" s="67"/>
      <c r="L107" s="67"/>
      <c r="M107" s="67"/>
      <c r="N107" s="67"/>
      <c r="O107" s="16"/>
      <c r="P107" s="17"/>
      <c r="Q107" s="18"/>
      <c r="R107" s="66" t="s">
        <v>240</v>
      </c>
      <c r="S107" s="67"/>
      <c r="T107" s="67"/>
      <c r="U107" s="67"/>
      <c r="V107" s="71"/>
    </row>
    <row r="108" spans="2:22" ht="14.4" customHeight="1" x14ac:dyDescent="0.3">
      <c r="B108" s="30" t="s">
        <v>121</v>
      </c>
      <c r="C108" s="31"/>
      <c r="D108" s="31"/>
      <c r="E108" s="31"/>
      <c r="F108" s="32"/>
      <c r="G108" s="17"/>
      <c r="H108" s="17"/>
      <c r="I108" s="18"/>
      <c r="J108" s="48" t="s">
        <v>155</v>
      </c>
      <c r="K108" s="28"/>
      <c r="L108" s="28"/>
      <c r="M108" s="28"/>
      <c r="N108" s="28"/>
      <c r="O108" s="16"/>
      <c r="P108" s="17"/>
      <c r="Q108" s="18"/>
      <c r="R108" s="27" t="s">
        <v>215</v>
      </c>
      <c r="S108" s="28"/>
      <c r="T108" s="28"/>
      <c r="U108" s="28"/>
      <c r="V108" s="55"/>
    </row>
    <row r="109" spans="2:22" ht="14.4" customHeight="1" x14ac:dyDescent="0.3">
      <c r="B109" s="33"/>
      <c r="C109" s="34"/>
      <c r="D109" s="34"/>
      <c r="E109" s="34"/>
      <c r="F109" s="35"/>
      <c r="G109" s="17"/>
      <c r="H109" s="17"/>
      <c r="I109" s="18"/>
      <c r="J109" s="49" t="s">
        <v>121</v>
      </c>
      <c r="K109" s="31"/>
      <c r="L109" s="31"/>
      <c r="M109" s="31"/>
      <c r="N109" s="31"/>
      <c r="O109" s="16"/>
      <c r="P109" s="17"/>
      <c r="Q109" s="18"/>
      <c r="R109" s="30" t="s">
        <v>241</v>
      </c>
      <c r="S109" s="31"/>
      <c r="T109" s="31"/>
      <c r="U109" s="31"/>
      <c r="V109" s="53"/>
    </row>
    <row r="110" spans="2:22" x14ac:dyDescent="0.3">
      <c r="B110" s="27" t="s">
        <v>122</v>
      </c>
      <c r="C110" s="28"/>
      <c r="D110" s="28"/>
      <c r="E110" s="28"/>
      <c r="F110" s="29"/>
      <c r="G110" s="17"/>
      <c r="H110" s="17"/>
      <c r="I110" s="18"/>
      <c r="J110" s="52"/>
      <c r="K110" s="34"/>
      <c r="L110" s="34"/>
      <c r="M110" s="34"/>
      <c r="N110" s="34"/>
      <c r="O110" s="16"/>
      <c r="P110" s="17"/>
      <c r="Q110" s="18"/>
      <c r="R110" s="33"/>
      <c r="S110" s="34"/>
      <c r="T110" s="34"/>
      <c r="U110" s="34"/>
      <c r="V110" s="54"/>
    </row>
    <row r="111" spans="2:22" ht="14.4" customHeight="1" x14ac:dyDescent="0.3">
      <c r="B111" s="30" t="s">
        <v>123</v>
      </c>
      <c r="C111" s="31"/>
      <c r="D111" s="31"/>
      <c r="E111" s="31"/>
      <c r="F111" s="32"/>
      <c r="G111" s="17"/>
      <c r="H111" s="17"/>
      <c r="I111" s="18"/>
      <c r="J111" s="48" t="s">
        <v>156</v>
      </c>
      <c r="K111" s="28"/>
      <c r="L111" s="28"/>
      <c r="M111" s="28"/>
      <c r="N111" s="28"/>
      <c r="O111" s="16"/>
      <c r="P111" s="17"/>
      <c r="Q111" s="18"/>
      <c r="R111" s="27" t="s">
        <v>216</v>
      </c>
      <c r="S111" s="28"/>
      <c r="T111" s="28"/>
      <c r="U111" s="28"/>
      <c r="V111" s="55"/>
    </row>
    <row r="112" spans="2:22" ht="14.4" customHeight="1" x14ac:dyDescent="0.3">
      <c r="B112" s="33"/>
      <c r="C112" s="34"/>
      <c r="D112" s="34"/>
      <c r="E112" s="34"/>
      <c r="F112" s="35"/>
      <c r="G112" s="17"/>
      <c r="H112" s="17"/>
      <c r="I112" s="18"/>
      <c r="J112" s="49" t="s">
        <v>123</v>
      </c>
      <c r="K112" s="31"/>
      <c r="L112" s="31"/>
      <c r="M112" s="31"/>
      <c r="N112" s="31"/>
      <c r="O112" s="16"/>
      <c r="P112" s="17"/>
      <c r="Q112" s="18"/>
      <c r="R112" s="30" t="s">
        <v>242</v>
      </c>
      <c r="S112" s="31"/>
      <c r="T112" s="31"/>
      <c r="U112" s="31"/>
      <c r="V112" s="53"/>
    </row>
    <row r="113" spans="1:22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52"/>
      <c r="K113" s="34"/>
      <c r="L113" s="34"/>
      <c r="M113" s="34"/>
      <c r="N113" s="34"/>
      <c r="O113" s="16"/>
      <c r="P113" s="17"/>
      <c r="Q113" s="18"/>
      <c r="R113" s="33"/>
      <c r="S113" s="34"/>
      <c r="T113" s="34"/>
      <c r="U113" s="34"/>
      <c r="V113" s="54"/>
    </row>
    <row r="114" spans="1:22" x14ac:dyDescent="0.3">
      <c r="A114" s="20"/>
      <c r="B114" s="20"/>
      <c r="C114" s="20"/>
      <c r="D114" s="20"/>
      <c r="E114" s="20"/>
      <c r="F114" s="20"/>
      <c r="G114" s="20"/>
      <c r="H114" s="20"/>
      <c r="I114" s="20"/>
    </row>
    <row r="115" spans="1:22" ht="14.4" customHeight="1" x14ac:dyDescent="0.3">
      <c r="A115" s="19"/>
      <c r="B115" s="65" t="s">
        <v>101</v>
      </c>
      <c r="C115" s="65"/>
      <c r="D115" s="65"/>
      <c r="E115" s="65"/>
      <c r="F115" s="65"/>
      <c r="G115" s="65"/>
      <c r="H115" s="65"/>
      <c r="I115" s="65"/>
      <c r="J115" s="65"/>
    </row>
    <row r="116" spans="1:22" x14ac:dyDescent="0.3">
      <c r="A116" s="19"/>
      <c r="B116" s="65"/>
      <c r="C116" s="65"/>
      <c r="D116" s="65"/>
      <c r="E116" s="65"/>
      <c r="F116" s="65"/>
      <c r="G116" s="65"/>
      <c r="H116" s="65"/>
      <c r="I116" s="65"/>
      <c r="J116" s="65"/>
    </row>
    <row r="117" spans="1:22" x14ac:dyDescent="0.3">
      <c r="A117" s="19"/>
      <c r="B117" s="76" t="s">
        <v>179</v>
      </c>
      <c r="C117" s="76"/>
      <c r="D117" s="76"/>
      <c r="E117" s="76"/>
      <c r="F117" s="76"/>
      <c r="G117" s="76"/>
      <c r="H117" s="76"/>
      <c r="I117" s="76"/>
    </row>
    <row r="118" spans="1:22" x14ac:dyDescent="0.3">
      <c r="A118" s="19"/>
      <c r="B118" s="76"/>
      <c r="C118" s="76"/>
      <c r="D118" s="76"/>
      <c r="E118" s="76"/>
      <c r="F118" s="76"/>
      <c r="G118" s="76"/>
      <c r="H118" s="76"/>
      <c r="I118" s="76"/>
    </row>
    <row r="119" spans="1:22" x14ac:dyDescent="0.3">
      <c r="A119" s="19"/>
      <c r="B119" s="76"/>
      <c r="C119" s="76"/>
      <c r="D119" s="76"/>
      <c r="E119" s="76"/>
      <c r="F119" s="76"/>
      <c r="G119" s="76"/>
      <c r="H119" s="76"/>
      <c r="I119" s="76"/>
    </row>
    <row r="120" spans="1:22" x14ac:dyDescent="0.3">
      <c r="A120" s="19"/>
      <c r="B120" s="9"/>
      <c r="C120" s="9"/>
      <c r="D120" s="9"/>
      <c r="E120" s="9"/>
      <c r="F120" s="9"/>
      <c r="G120" s="9"/>
      <c r="H120" s="9"/>
      <c r="I120" s="9"/>
    </row>
    <row r="121" spans="1:22" x14ac:dyDescent="0.3">
      <c r="A121" s="19"/>
      <c r="B121" s="76" t="s">
        <v>243</v>
      </c>
      <c r="C121" s="76"/>
      <c r="D121" s="76"/>
      <c r="E121" s="76"/>
      <c r="F121" s="76"/>
      <c r="G121" s="76"/>
      <c r="H121" s="76"/>
      <c r="I121" s="76"/>
    </row>
    <row r="122" spans="1:22" x14ac:dyDescent="0.3">
      <c r="A122"/>
      <c r="B122" s="76"/>
      <c r="C122" s="76"/>
      <c r="D122" s="76"/>
      <c r="E122" s="76"/>
      <c r="F122" s="76"/>
      <c r="G122" s="76"/>
      <c r="H122" s="76"/>
      <c r="I122" s="76"/>
    </row>
    <row r="123" spans="1:22" x14ac:dyDescent="0.3">
      <c r="A123"/>
      <c r="B123" s="76"/>
      <c r="C123" s="76"/>
      <c r="D123" s="76"/>
      <c r="E123" s="76"/>
      <c r="F123" s="76"/>
      <c r="G123" s="76"/>
      <c r="H123" s="76"/>
      <c r="I123" s="76"/>
    </row>
    <row r="124" spans="1:22" x14ac:dyDescent="0.3">
      <c r="A124"/>
      <c r="G124"/>
      <c r="I124"/>
    </row>
    <row r="125" spans="1:22" x14ac:dyDescent="0.3">
      <c r="A125"/>
      <c r="G125"/>
      <c r="I125"/>
    </row>
    <row r="126" spans="1:22" x14ac:dyDescent="0.3">
      <c r="A126"/>
      <c r="G126"/>
      <c r="I126"/>
    </row>
    <row r="127" spans="1:22" x14ac:dyDescent="0.3">
      <c r="A127"/>
      <c r="G127"/>
      <c r="I127"/>
    </row>
    <row r="128" spans="1:22" x14ac:dyDescent="0.3">
      <c r="A128"/>
      <c r="G128"/>
      <c r="I128"/>
    </row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</sheetData>
  <mergeCells count="205">
    <mergeCell ref="R45:V49"/>
    <mergeCell ref="R50:V50"/>
    <mergeCell ref="B121:I123"/>
    <mergeCell ref="R97:V97"/>
    <mergeCell ref="R98:V99"/>
    <mergeCell ref="R100:V100"/>
    <mergeCell ref="R101:V101"/>
    <mergeCell ref="R102:V103"/>
    <mergeCell ref="R104:V104"/>
    <mergeCell ref="R80:V81"/>
    <mergeCell ref="R82:V82"/>
    <mergeCell ref="R83:V84"/>
    <mergeCell ref="R85:V85"/>
    <mergeCell ref="R86:V87"/>
    <mergeCell ref="R88:V88"/>
    <mergeCell ref="J105:N105"/>
    <mergeCell ref="J106:N106"/>
    <mergeCell ref="J92:N92"/>
    <mergeCell ref="J93:N93"/>
    <mergeCell ref="B117:I119"/>
    <mergeCell ref="J108:N108"/>
    <mergeCell ref="J109:N110"/>
    <mergeCell ref="J111:N111"/>
    <mergeCell ref="J112:N113"/>
    <mergeCell ref="R2:V2"/>
    <mergeCell ref="R3:V3"/>
    <mergeCell ref="R4:V4"/>
    <mergeCell ref="R5:V5"/>
    <mergeCell ref="R6:V8"/>
    <mergeCell ref="R9:V9"/>
    <mergeCell ref="R10:V11"/>
    <mergeCell ref="R12:V12"/>
    <mergeCell ref="J107:N107"/>
    <mergeCell ref="J100:N100"/>
    <mergeCell ref="J101:N101"/>
    <mergeCell ref="J102:N103"/>
    <mergeCell ref="J104:N104"/>
    <mergeCell ref="R57:V57"/>
    <mergeCell ref="R58:V62"/>
    <mergeCell ref="R63:V63"/>
    <mergeCell ref="R64:V68"/>
    <mergeCell ref="R69:V69"/>
    <mergeCell ref="R70:V71"/>
    <mergeCell ref="J54:N55"/>
    <mergeCell ref="J56:N56"/>
    <mergeCell ref="J57:N57"/>
    <mergeCell ref="J58:N62"/>
    <mergeCell ref="J88:N88"/>
    <mergeCell ref="J89:N89"/>
    <mergeCell ref="J90:N91"/>
    <mergeCell ref="J75:N75"/>
    <mergeCell ref="J76:N76"/>
    <mergeCell ref="J77:N78"/>
    <mergeCell ref="J79:N79"/>
    <mergeCell ref="J80:N81"/>
    <mergeCell ref="J82:N82"/>
    <mergeCell ref="J83:N84"/>
    <mergeCell ref="J85:N85"/>
    <mergeCell ref="J86:N87"/>
    <mergeCell ref="R108:V108"/>
    <mergeCell ref="R109:V110"/>
    <mergeCell ref="R111:V111"/>
    <mergeCell ref="R112:V113"/>
    <mergeCell ref="R105:V105"/>
    <mergeCell ref="R106:V106"/>
    <mergeCell ref="R107:V107"/>
    <mergeCell ref="R92:V92"/>
    <mergeCell ref="R93:V93"/>
    <mergeCell ref="R94:V94"/>
    <mergeCell ref="R95:V96"/>
    <mergeCell ref="J12:N12"/>
    <mergeCell ref="B108:F109"/>
    <mergeCell ref="B110:F110"/>
    <mergeCell ref="B44:F48"/>
    <mergeCell ref="B57:F61"/>
    <mergeCell ref="B74:F74"/>
    <mergeCell ref="B75:F75"/>
    <mergeCell ref="B62:F62"/>
    <mergeCell ref="B68:F68"/>
    <mergeCell ref="B69:F70"/>
    <mergeCell ref="B71:F71"/>
    <mergeCell ref="B72:F73"/>
    <mergeCell ref="B63:F67"/>
    <mergeCell ref="B50:F51"/>
    <mergeCell ref="B52:F52"/>
    <mergeCell ref="B53:F54"/>
    <mergeCell ref="B55:F55"/>
    <mergeCell ref="B56:F56"/>
    <mergeCell ref="B100:F100"/>
    <mergeCell ref="B96:F96"/>
    <mergeCell ref="B107:F107"/>
    <mergeCell ref="B92:F92"/>
    <mergeCell ref="B93:F93"/>
    <mergeCell ref="B94:F95"/>
    <mergeCell ref="J16:N17"/>
    <mergeCell ref="J18:N18"/>
    <mergeCell ref="J19:N19"/>
    <mergeCell ref="J25:N25"/>
    <mergeCell ref="J26:N30"/>
    <mergeCell ref="J31:N31"/>
    <mergeCell ref="J32:N33"/>
    <mergeCell ref="J34:N34"/>
    <mergeCell ref="J35:N36"/>
    <mergeCell ref="J20:N24"/>
    <mergeCell ref="R19:V19"/>
    <mergeCell ref="R20:V24"/>
    <mergeCell ref="R89:V89"/>
    <mergeCell ref="R90:V91"/>
    <mergeCell ref="R75:V75"/>
    <mergeCell ref="R76:V76"/>
    <mergeCell ref="R77:V78"/>
    <mergeCell ref="R79:V79"/>
    <mergeCell ref="R34:V34"/>
    <mergeCell ref="R35:V36"/>
    <mergeCell ref="R37:V37"/>
    <mergeCell ref="R38:V38"/>
    <mergeCell ref="R39:V43"/>
    <mergeCell ref="R25:V25"/>
    <mergeCell ref="R26:V30"/>
    <mergeCell ref="R31:V31"/>
    <mergeCell ref="R32:V33"/>
    <mergeCell ref="R72:V72"/>
    <mergeCell ref="R73:V74"/>
    <mergeCell ref="R44:V44"/>
    <mergeCell ref="R51:V52"/>
    <mergeCell ref="R53:V53"/>
    <mergeCell ref="R54:V55"/>
    <mergeCell ref="R56:V56"/>
    <mergeCell ref="B115:J116"/>
    <mergeCell ref="B76:F77"/>
    <mergeCell ref="B79:F80"/>
    <mergeCell ref="B87:F87"/>
    <mergeCell ref="B88:F88"/>
    <mergeCell ref="B89:F90"/>
    <mergeCell ref="B91:F91"/>
    <mergeCell ref="B82:F83"/>
    <mergeCell ref="B84:F84"/>
    <mergeCell ref="B85:F86"/>
    <mergeCell ref="B78:F78"/>
    <mergeCell ref="B81:F81"/>
    <mergeCell ref="B111:F112"/>
    <mergeCell ref="B101:F102"/>
    <mergeCell ref="B103:F103"/>
    <mergeCell ref="B104:F104"/>
    <mergeCell ref="B105:F105"/>
    <mergeCell ref="B106:F106"/>
    <mergeCell ref="B97:F98"/>
    <mergeCell ref="J94:N94"/>
    <mergeCell ref="J95:N96"/>
    <mergeCell ref="J97:N97"/>
    <mergeCell ref="J98:N99"/>
    <mergeCell ref="B99:F99"/>
    <mergeCell ref="B49:F49"/>
    <mergeCell ref="B24:F24"/>
    <mergeCell ref="B30:F30"/>
    <mergeCell ref="B31:F32"/>
    <mergeCell ref="B33:F33"/>
    <mergeCell ref="B34:F35"/>
    <mergeCell ref="J37:N37"/>
    <mergeCell ref="J38:N38"/>
    <mergeCell ref="J39:N43"/>
    <mergeCell ref="J44:N44"/>
    <mergeCell ref="J45:N49"/>
    <mergeCell ref="J50:N50"/>
    <mergeCell ref="J63:N63"/>
    <mergeCell ref="J64:N68"/>
    <mergeCell ref="J69:N69"/>
    <mergeCell ref="J70:N71"/>
    <mergeCell ref="J72:N72"/>
    <mergeCell ref="J73:N74"/>
    <mergeCell ref="J51:N52"/>
    <mergeCell ref="J53:N53"/>
    <mergeCell ref="B2:F2"/>
    <mergeCell ref="B5:F5"/>
    <mergeCell ref="B3:F3"/>
    <mergeCell ref="B19:F23"/>
    <mergeCell ref="B25:F29"/>
    <mergeCell ref="B38:F42"/>
    <mergeCell ref="B36:F36"/>
    <mergeCell ref="B37:F37"/>
    <mergeCell ref="B43:F43"/>
    <mergeCell ref="B1:V1"/>
    <mergeCell ref="B14:F14"/>
    <mergeCell ref="B15:F16"/>
    <mergeCell ref="B4:F4"/>
    <mergeCell ref="B17:F17"/>
    <mergeCell ref="B18:F18"/>
    <mergeCell ref="B9:F9"/>
    <mergeCell ref="B10:F10"/>
    <mergeCell ref="B11:F11"/>
    <mergeCell ref="B12:F13"/>
    <mergeCell ref="J2:N2"/>
    <mergeCell ref="J3:N3"/>
    <mergeCell ref="J4:N4"/>
    <mergeCell ref="J5:N5"/>
    <mergeCell ref="J6:N8"/>
    <mergeCell ref="J9:N9"/>
    <mergeCell ref="R13:V14"/>
    <mergeCell ref="R15:V15"/>
    <mergeCell ref="R16:V17"/>
    <mergeCell ref="R18:V18"/>
    <mergeCell ref="B6:F8"/>
    <mergeCell ref="J13:N14"/>
    <mergeCell ref="J10:N11"/>
    <mergeCell ref="J15:N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BD3E-4FE7-4E63-A26E-5EC2AF4AE252}">
  <dimension ref="A1:V28"/>
  <sheetViews>
    <sheetView tabSelected="1" zoomScale="90" zoomScaleNormal="90" workbookViewId="0">
      <pane xSplit="1" topLeftCell="B1" activePane="topRight" state="frozen"/>
      <selection pane="topRight" activeCell="B31" sqref="B31"/>
    </sheetView>
  </sheetViews>
  <sheetFormatPr defaultRowHeight="14.4" x14ac:dyDescent="0.3"/>
  <cols>
    <col min="2" max="2" width="9.5546875" bestFit="1" customWidth="1"/>
    <col min="3" max="3" width="11.6640625" bestFit="1" customWidth="1"/>
    <col min="4" max="4" width="18" bestFit="1" customWidth="1"/>
    <col min="5" max="5" width="14.6640625" bestFit="1" customWidth="1"/>
    <col min="6" max="6" width="23.44140625" bestFit="1" customWidth="1"/>
    <col min="7" max="7" width="19.44140625" bestFit="1" customWidth="1"/>
    <col min="8" max="8" width="18.33203125" bestFit="1" customWidth="1"/>
    <col min="9" max="9" width="10" style="2" bestFit="1" customWidth="1"/>
    <col min="10" max="10" width="12.109375" style="2" bestFit="1" customWidth="1"/>
    <col min="11" max="11" width="18.44140625" style="2" bestFit="1" customWidth="1"/>
    <col min="12" max="12" width="15.109375" style="2" bestFit="1" customWidth="1"/>
    <col min="13" max="13" width="23.44140625" style="2" bestFit="1" customWidth="1"/>
    <col min="14" max="14" width="19.44140625" style="2" bestFit="1" customWidth="1"/>
    <col min="15" max="15" width="18.77734375" style="2" bestFit="1" customWidth="1"/>
    <col min="16" max="16" width="14.21875" bestFit="1" customWidth="1"/>
    <col min="17" max="17" width="16.33203125" bestFit="1" customWidth="1"/>
    <col min="18" max="18" width="22.6640625" bestFit="1" customWidth="1"/>
    <col min="19" max="19" width="19.33203125" bestFit="1" customWidth="1"/>
    <col min="20" max="20" width="28.109375" bestFit="1" customWidth="1"/>
    <col min="21" max="21" width="24.109375" bestFit="1" customWidth="1"/>
    <col min="22" max="22" width="23.44140625" bestFit="1" customWidth="1"/>
  </cols>
  <sheetData>
    <row r="1" spans="1:22" x14ac:dyDescent="0.3">
      <c r="A1" s="21" t="s">
        <v>0</v>
      </c>
      <c r="B1" s="22" t="s">
        <v>33</v>
      </c>
      <c r="C1" s="22" t="s">
        <v>32</v>
      </c>
      <c r="D1" s="22" t="s">
        <v>34</v>
      </c>
      <c r="E1" s="22" t="s">
        <v>35</v>
      </c>
      <c r="F1" s="22" t="s">
        <v>8</v>
      </c>
      <c r="G1" s="22" t="s">
        <v>9</v>
      </c>
      <c r="H1" s="22" t="s">
        <v>43</v>
      </c>
      <c r="I1" s="7" t="s">
        <v>45</v>
      </c>
      <c r="J1" s="7" t="s">
        <v>46</v>
      </c>
      <c r="K1" s="7" t="s">
        <v>47</v>
      </c>
      <c r="L1" s="7" t="s">
        <v>48</v>
      </c>
      <c r="M1" s="7" t="s">
        <v>49</v>
      </c>
      <c r="N1" s="7" t="s">
        <v>50</v>
      </c>
      <c r="O1" s="7" t="s">
        <v>51</v>
      </c>
      <c r="P1" s="23" t="s">
        <v>52</v>
      </c>
      <c r="Q1" s="23" t="s">
        <v>53</v>
      </c>
      <c r="R1" s="23" t="s">
        <v>54</v>
      </c>
      <c r="S1" s="23" t="s">
        <v>55</v>
      </c>
      <c r="T1" s="23" t="s">
        <v>56</v>
      </c>
      <c r="U1" s="23" t="s">
        <v>57</v>
      </c>
      <c r="V1" s="23" t="s">
        <v>58</v>
      </c>
    </row>
    <row r="2" spans="1:22" x14ac:dyDescent="0.3">
      <c r="A2" s="21">
        <v>2024</v>
      </c>
      <c r="B2" s="2">
        <v>16</v>
      </c>
      <c r="C2" s="2">
        <v>16</v>
      </c>
      <c r="D2" s="2">
        <v>16</v>
      </c>
      <c r="E2" s="2">
        <v>16</v>
      </c>
      <c r="F2" s="2">
        <v>16</v>
      </c>
      <c r="G2" s="2">
        <v>16</v>
      </c>
      <c r="H2" s="2">
        <v>16</v>
      </c>
      <c r="I2" s="2">
        <v>16</v>
      </c>
      <c r="J2" s="2">
        <v>16</v>
      </c>
      <c r="K2" s="2">
        <v>16</v>
      </c>
      <c r="L2" s="2">
        <v>16</v>
      </c>
      <c r="M2" s="2">
        <v>16</v>
      </c>
      <c r="N2" s="2">
        <v>16</v>
      </c>
      <c r="O2" s="2">
        <v>16</v>
      </c>
      <c r="P2" s="2">
        <v>16</v>
      </c>
      <c r="Q2" s="2">
        <v>16</v>
      </c>
      <c r="R2" s="2">
        <v>16</v>
      </c>
      <c r="S2" s="2">
        <v>16</v>
      </c>
      <c r="T2" s="2">
        <v>16</v>
      </c>
      <c r="U2" s="2">
        <v>16</v>
      </c>
      <c r="V2" s="2">
        <v>16</v>
      </c>
    </row>
    <row r="3" spans="1:22" x14ac:dyDescent="0.3">
      <c r="A3" s="21">
        <v>2025</v>
      </c>
      <c r="B3" s="2">
        <v>17.829999999999998</v>
      </c>
      <c r="C3" s="2">
        <v>19.41</v>
      </c>
      <c r="D3" s="2">
        <v>17.02</v>
      </c>
      <c r="E3" s="2">
        <v>16.48</v>
      </c>
      <c r="F3" s="2">
        <v>17.829999999999998</v>
      </c>
      <c r="G3" s="2">
        <v>17.829999999999998</v>
      </c>
      <c r="H3" s="2">
        <v>17.829999999999998</v>
      </c>
      <c r="I3" s="2">
        <v>18.399999999999999</v>
      </c>
      <c r="J3" s="2">
        <v>20.170000000000002</v>
      </c>
      <c r="K3" s="2">
        <v>17.48</v>
      </c>
      <c r="L3" s="2">
        <v>16.88</v>
      </c>
      <c r="M3" s="2">
        <v>18.399999999999999</v>
      </c>
      <c r="N3" s="2">
        <v>18.399999999999999</v>
      </c>
      <c r="O3" s="2">
        <v>18.399999999999999</v>
      </c>
      <c r="P3" s="2">
        <v>19.2</v>
      </c>
      <c r="Q3" s="2">
        <v>21.25</v>
      </c>
      <c r="R3" s="2">
        <v>18.14</v>
      </c>
      <c r="S3" s="2">
        <v>17.440000000000001</v>
      </c>
      <c r="T3" s="2">
        <v>19.2</v>
      </c>
      <c r="U3" s="2">
        <v>19.2</v>
      </c>
      <c r="V3" s="2">
        <v>19.2</v>
      </c>
    </row>
    <row r="4" spans="1:22" x14ac:dyDescent="0.3">
      <c r="A4" s="21">
        <v>2026</v>
      </c>
      <c r="B4" s="2">
        <v>19.670000000000002</v>
      </c>
      <c r="C4" s="2">
        <v>22.81</v>
      </c>
      <c r="D4" s="2">
        <v>18.03</v>
      </c>
      <c r="E4" s="2">
        <v>16.97</v>
      </c>
      <c r="F4" s="2">
        <v>19.670000000000002</v>
      </c>
      <c r="G4" s="2">
        <v>19.670000000000002</v>
      </c>
      <c r="H4" s="2">
        <v>19.670000000000002</v>
      </c>
      <c r="I4" s="2">
        <v>20.8</v>
      </c>
      <c r="J4" s="2">
        <v>24.35</v>
      </c>
      <c r="K4" s="2">
        <v>18.96</v>
      </c>
      <c r="L4" s="2">
        <v>17.760000000000002</v>
      </c>
      <c r="M4" s="2">
        <v>20.8</v>
      </c>
      <c r="N4" s="2">
        <v>20.8</v>
      </c>
      <c r="O4" s="2">
        <v>20.8</v>
      </c>
      <c r="P4" s="2">
        <v>22.4</v>
      </c>
      <c r="Q4" s="2">
        <v>26.51</v>
      </c>
      <c r="R4" s="2">
        <v>20.27</v>
      </c>
      <c r="S4" s="2">
        <v>18.88</v>
      </c>
      <c r="T4" s="2">
        <v>22.4</v>
      </c>
      <c r="U4" s="2">
        <v>22.4</v>
      </c>
      <c r="V4" s="2">
        <v>22.4</v>
      </c>
    </row>
    <row r="5" spans="1:22" x14ac:dyDescent="0.3">
      <c r="A5" s="21">
        <v>2027</v>
      </c>
      <c r="B5" s="2">
        <v>21.5</v>
      </c>
      <c r="C5" s="2">
        <v>26.22</v>
      </c>
      <c r="D5" s="2">
        <v>19.05</v>
      </c>
      <c r="E5" s="2">
        <v>17.45</v>
      </c>
      <c r="F5" s="2">
        <v>21.5</v>
      </c>
      <c r="G5" s="2">
        <v>21.5</v>
      </c>
      <c r="H5" s="2">
        <v>21.5</v>
      </c>
      <c r="I5" s="2">
        <v>23.2</v>
      </c>
      <c r="J5" s="2">
        <v>28.52</v>
      </c>
      <c r="K5" s="2">
        <v>20.440000000000001</v>
      </c>
      <c r="L5" s="2">
        <v>18.64</v>
      </c>
      <c r="M5" s="2">
        <v>23.2</v>
      </c>
      <c r="N5" s="2">
        <v>23.2</v>
      </c>
      <c r="O5" s="2">
        <v>23.2</v>
      </c>
      <c r="P5" s="2">
        <v>25.6</v>
      </c>
      <c r="Q5" s="2">
        <v>31.76</v>
      </c>
      <c r="R5" s="2">
        <v>22.41</v>
      </c>
      <c r="S5" s="2">
        <v>20.32</v>
      </c>
      <c r="T5" s="2">
        <v>25.6</v>
      </c>
      <c r="U5" s="2">
        <v>25.6</v>
      </c>
      <c r="V5" s="2">
        <v>25.6</v>
      </c>
    </row>
    <row r="6" spans="1:22" x14ac:dyDescent="0.3">
      <c r="A6" s="21">
        <v>2028</v>
      </c>
      <c r="B6" s="2">
        <v>23.33</v>
      </c>
      <c r="C6" s="2">
        <v>29.63</v>
      </c>
      <c r="D6" s="2">
        <v>20.07</v>
      </c>
      <c r="E6" s="2">
        <v>17.93</v>
      </c>
      <c r="F6" s="2">
        <v>23.33</v>
      </c>
      <c r="G6" s="2">
        <v>23.33</v>
      </c>
      <c r="H6" s="2">
        <v>23.33</v>
      </c>
      <c r="I6" s="2">
        <v>25.6</v>
      </c>
      <c r="J6" s="2">
        <v>32.69</v>
      </c>
      <c r="K6" s="2">
        <v>21.92</v>
      </c>
      <c r="L6" s="2">
        <v>19.52</v>
      </c>
      <c r="M6" s="2">
        <v>25.6</v>
      </c>
      <c r="N6" s="2">
        <v>25.6</v>
      </c>
      <c r="O6" s="2">
        <v>25.6</v>
      </c>
      <c r="P6" s="2">
        <v>28.8</v>
      </c>
      <c r="Q6" s="2">
        <v>37.01</v>
      </c>
      <c r="R6" s="2">
        <v>24.54</v>
      </c>
      <c r="S6" s="2">
        <v>21.76</v>
      </c>
      <c r="T6" s="2">
        <v>28.8</v>
      </c>
      <c r="U6" s="2">
        <v>28.8</v>
      </c>
      <c r="V6" s="2">
        <v>28.8</v>
      </c>
    </row>
    <row r="7" spans="1:22" x14ac:dyDescent="0.3">
      <c r="A7" s="21">
        <v>2029</v>
      </c>
      <c r="B7" s="2">
        <v>25.17</v>
      </c>
      <c r="C7" s="2">
        <v>33.03</v>
      </c>
      <c r="D7" s="2">
        <v>21.08</v>
      </c>
      <c r="E7" s="2">
        <v>18.420000000000002</v>
      </c>
      <c r="F7" s="2">
        <v>25.17</v>
      </c>
      <c r="G7" s="2">
        <v>25.17</v>
      </c>
      <c r="H7" s="2">
        <v>25.17</v>
      </c>
      <c r="I7" s="2">
        <v>28</v>
      </c>
      <c r="J7" s="2">
        <v>36.869999999999997</v>
      </c>
      <c r="K7" s="2">
        <v>23.4</v>
      </c>
      <c r="L7" s="2">
        <v>20.399999999999999</v>
      </c>
      <c r="M7" s="2">
        <v>28</v>
      </c>
      <c r="N7" s="2">
        <v>28</v>
      </c>
      <c r="O7" s="2">
        <v>28</v>
      </c>
      <c r="P7" s="2">
        <v>32</v>
      </c>
      <c r="Q7" s="2">
        <v>42.27</v>
      </c>
      <c r="R7" s="2">
        <v>26.68</v>
      </c>
      <c r="S7" s="2">
        <v>23.2</v>
      </c>
      <c r="T7" s="2">
        <v>32</v>
      </c>
      <c r="U7" s="2">
        <v>32</v>
      </c>
      <c r="V7" s="2">
        <v>32</v>
      </c>
    </row>
    <row r="8" spans="1:22" x14ac:dyDescent="0.3">
      <c r="A8" s="21">
        <v>2030</v>
      </c>
      <c r="B8" s="2">
        <v>27</v>
      </c>
      <c r="C8" s="2">
        <v>36.44</v>
      </c>
      <c r="D8" s="2">
        <v>22.1</v>
      </c>
      <c r="E8" s="2">
        <v>18.899999999999999</v>
      </c>
      <c r="F8" s="2">
        <v>27</v>
      </c>
      <c r="G8" s="2">
        <v>27</v>
      </c>
      <c r="H8" s="2">
        <v>27</v>
      </c>
      <c r="I8" s="2">
        <v>30.4</v>
      </c>
      <c r="J8" s="2">
        <v>41.04</v>
      </c>
      <c r="K8" s="2">
        <v>24.88</v>
      </c>
      <c r="L8" s="2">
        <v>21.28</v>
      </c>
      <c r="M8" s="2">
        <v>30.4</v>
      </c>
      <c r="N8" s="2">
        <v>30.4</v>
      </c>
      <c r="O8" s="2">
        <v>30.4</v>
      </c>
      <c r="P8" s="2">
        <v>35.200000000000003</v>
      </c>
      <c r="Q8" s="2">
        <v>47.52</v>
      </c>
      <c r="R8" s="2">
        <v>28.81</v>
      </c>
      <c r="S8" s="2">
        <v>24.64</v>
      </c>
      <c r="T8" s="2">
        <v>35.200000000000003</v>
      </c>
      <c r="U8" s="2">
        <v>35.200000000000003</v>
      </c>
      <c r="V8" s="2">
        <v>35.200000000000003</v>
      </c>
    </row>
    <row r="9" spans="1:22" x14ac:dyDescent="0.3">
      <c r="A9" s="21">
        <v>2031</v>
      </c>
      <c r="B9" s="2">
        <v>29.7</v>
      </c>
      <c r="C9" s="2">
        <v>40.97</v>
      </c>
      <c r="D9" s="2">
        <v>24.14</v>
      </c>
      <c r="E9" s="2">
        <v>19.8</v>
      </c>
      <c r="F9" s="2">
        <v>28.35</v>
      </c>
      <c r="G9" s="2">
        <v>29.7</v>
      </c>
      <c r="H9" s="2">
        <v>29.7</v>
      </c>
      <c r="I9" s="2">
        <v>33.44</v>
      </c>
      <c r="J9" s="2">
        <v>46.13</v>
      </c>
      <c r="K9" s="2">
        <v>27.18</v>
      </c>
      <c r="L9" s="2">
        <v>22.3</v>
      </c>
      <c r="M9" s="2">
        <v>31.92</v>
      </c>
      <c r="N9" s="2">
        <v>33.44</v>
      </c>
      <c r="O9" s="2">
        <v>33.44</v>
      </c>
      <c r="P9" s="2">
        <v>40.479999999999997</v>
      </c>
      <c r="Q9" s="2">
        <v>55.98</v>
      </c>
      <c r="R9" s="2">
        <v>32.880000000000003</v>
      </c>
      <c r="S9" s="2">
        <v>26.83</v>
      </c>
      <c r="T9" s="2">
        <v>38.72</v>
      </c>
      <c r="U9" s="2">
        <v>40.479999999999997</v>
      </c>
      <c r="V9" s="2">
        <v>40.479999999999997</v>
      </c>
    </row>
    <row r="10" spans="1:22" x14ac:dyDescent="0.3">
      <c r="A10" s="21">
        <v>2032</v>
      </c>
      <c r="B10" s="2">
        <v>32.4</v>
      </c>
      <c r="C10" s="2">
        <v>45.49</v>
      </c>
      <c r="D10" s="2">
        <v>26.19</v>
      </c>
      <c r="E10" s="2">
        <v>20.7</v>
      </c>
      <c r="F10" s="2">
        <v>29.7</v>
      </c>
      <c r="G10" s="2">
        <v>32.4</v>
      </c>
      <c r="H10" s="2">
        <v>32.4</v>
      </c>
      <c r="I10" s="2">
        <v>36.479999999999997</v>
      </c>
      <c r="J10" s="2">
        <v>51.22</v>
      </c>
      <c r="K10" s="2">
        <v>29.48</v>
      </c>
      <c r="L10" s="2">
        <v>23.31</v>
      </c>
      <c r="M10" s="2">
        <v>33.44</v>
      </c>
      <c r="N10" s="2">
        <v>36.479999999999997</v>
      </c>
      <c r="O10" s="2">
        <v>36.479999999999997</v>
      </c>
      <c r="P10" s="2">
        <v>45.76</v>
      </c>
      <c r="Q10" s="2">
        <v>64.44</v>
      </c>
      <c r="R10" s="2">
        <v>36.950000000000003</v>
      </c>
      <c r="S10" s="2">
        <v>29.03</v>
      </c>
      <c r="T10" s="2">
        <v>42.24</v>
      </c>
      <c r="U10" s="2">
        <v>45.76</v>
      </c>
      <c r="V10" s="2">
        <v>45.76</v>
      </c>
    </row>
    <row r="11" spans="1:22" x14ac:dyDescent="0.3">
      <c r="A11" s="21">
        <v>2033</v>
      </c>
      <c r="B11" s="2">
        <v>35.1</v>
      </c>
      <c r="C11" s="2">
        <v>50.02</v>
      </c>
      <c r="D11" s="2">
        <v>28.23</v>
      </c>
      <c r="E11" s="2">
        <v>21.61</v>
      </c>
      <c r="F11" s="2">
        <v>31.05</v>
      </c>
      <c r="G11" s="2">
        <v>35.1</v>
      </c>
      <c r="H11" s="2">
        <v>35.1</v>
      </c>
      <c r="I11" s="2">
        <v>39.520000000000003</v>
      </c>
      <c r="J11" s="2">
        <v>56.31</v>
      </c>
      <c r="K11" s="2">
        <v>31.79</v>
      </c>
      <c r="L11" s="2">
        <v>24.33</v>
      </c>
      <c r="M11" s="2">
        <v>34.96</v>
      </c>
      <c r="N11" s="2">
        <v>39.520000000000003</v>
      </c>
      <c r="O11" s="2">
        <v>39.520000000000003</v>
      </c>
      <c r="P11" s="2">
        <v>51.04</v>
      </c>
      <c r="Q11" s="2">
        <v>72.900000000000006</v>
      </c>
      <c r="R11" s="2">
        <v>41.02</v>
      </c>
      <c r="S11" s="2">
        <v>31.22</v>
      </c>
      <c r="T11" s="2">
        <v>45.76</v>
      </c>
      <c r="U11" s="2">
        <v>51.04</v>
      </c>
      <c r="V11" s="2">
        <v>51.04</v>
      </c>
    </row>
    <row r="12" spans="1:22" x14ac:dyDescent="0.3">
      <c r="A12" s="21">
        <v>2034</v>
      </c>
      <c r="B12" s="2">
        <v>37.799999999999997</v>
      </c>
      <c r="C12" s="2">
        <v>54.54</v>
      </c>
      <c r="D12" s="2">
        <v>30.28</v>
      </c>
      <c r="E12" s="2">
        <v>22.51</v>
      </c>
      <c r="F12" s="2">
        <v>32.4</v>
      </c>
      <c r="G12" s="2">
        <v>37.799999999999997</v>
      </c>
      <c r="H12" s="2">
        <v>37.799999999999997</v>
      </c>
      <c r="I12" s="2">
        <v>42.56</v>
      </c>
      <c r="J12" s="2">
        <v>61.4</v>
      </c>
      <c r="K12" s="2">
        <v>34.090000000000003</v>
      </c>
      <c r="L12" s="2">
        <v>25.34</v>
      </c>
      <c r="M12" s="2">
        <v>36.479999999999997</v>
      </c>
      <c r="N12" s="2">
        <v>42.56</v>
      </c>
      <c r="O12" s="2">
        <v>42.56</v>
      </c>
      <c r="P12" s="2">
        <v>56.32</v>
      </c>
      <c r="Q12" s="2">
        <v>81.349999999999994</v>
      </c>
      <c r="R12" s="2">
        <v>45.09</v>
      </c>
      <c r="S12" s="2">
        <v>33.409999999999997</v>
      </c>
      <c r="T12" s="2">
        <v>49.28</v>
      </c>
      <c r="U12" s="2">
        <v>56.32</v>
      </c>
      <c r="V12" s="2">
        <v>56.32</v>
      </c>
    </row>
    <row r="13" spans="1:22" x14ac:dyDescent="0.3">
      <c r="A13" s="21">
        <v>2035</v>
      </c>
      <c r="B13" s="2">
        <v>40.5</v>
      </c>
      <c r="C13" s="2">
        <v>59.07</v>
      </c>
      <c r="D13" s="2">
        <v>32.32</v>
      </c>
      <c r="E13" s="2">
        <v>23.41</v>
      </c>
      <c r="F13" s="2">
        <v>33.75</v>
      </c>
      <c r="G13" s="2">
        <v>40.5</v>
      </c>
      <c r="H13" s="2">
        <v>40.5</v>
      </c>
      <c r="I13" s="2">
        <v>45.6</v>
      </c>
      <c r="J13" s="2">
        <v>66.48</v>
      </c>
      <c r="K13" s="2">
        <v>36.39</v>
      </c>
      <c r="L13" s="2">
        <v>26.36</v>
      </c>
      <c r="M13" s="2">
        <v>38</v>
      </c>
      <c r="N13" s="2">
        <v>45.6</v>
      </c>
      <c r="O13" s="2">
        <v>45.6</v>
      </c>
      <c r="P13" s="2">
        <v>61.6</v>
      </c>
      <c r="Q13" s="2">
        <v>89.81</v>
      </c>
      <c r="R13" s="2">
        <v>49.16</v>
      </c>
      <c r="S13" s="2">
        <v>35.6</v>
      </c>
      <c r="T13" s="2">
        <v>52.8</v>
      </c>
      <c r="U13" s="2">
        <v>61.6</v>
      </c>
      <c r="V13" s="2">
        <v>61.6</v>
      </c>
    </row>
    <row r="14" spans="1:22" x14ac:dyDescent="0.3">
      <c r="A14" s="21">
        <v>2036</v>
      </c>
      <c r="B14" s="2">
        <v>42.53</v>
      </c>
      <c r="C14" s="2">
        <v>62.74</v>
      </c>
      <c r="D14" s="2">
        <v>33.81</v>
      </c>
      <c r="E14" s="2">
        <v>23.97</v>
      </c>
      <c r="F14" s="2">
        <v>32.06</v>
      </c>
      <c r="G14" s="2">
        <v>38.479999999999997</v>
      </c>
      <c r="H14" s="2">
        <v>42.53</v>
      </c>
      <c r="I14" s="2">
        <v>47.88</v>
      </c>
      <c r="J14" s="2">
        <v>70.599999999999994</v>
      </c>
      <c r="K14" s="2">
        <v>38.07</v>
      </c>
      <c r="L14" s="2">
        <v>26.99</v>
      </c>
      <c r="M14" s="2">
        <v>36.1</v>
      </c>
      <c r="N14" s="2">
        <v>43.32</v>
      </c>
      <c r="O14" s="2">
        <v>47.88</v>
      </c>
      <c r="P14" s="2">
        <v>66.22</v>
      </c>
      <c r="Q14" s="2">
        <v>97.8</v>
      </c>
      <c r="R14" s="2">
        <v>52.63</v>
      </c>
      <c r="S14" s="2">
        <v>37.18</v>
      </c>
      <c r="T14" s="2">
        <v>50.16</v>
      </c>
      <c r="U14" s="2">
        <v>56.98</v>
      </c>
      <c r="V14" s="2">
        <v>66.22</v>
      </c>
    </row>
    <row r="15" spans="1:22" x14ac:dyDescent="0.3">
      <c r="A15" s="21">
        <v>2037</v>
      </c>
      <c r="B15" s="2">
        <v>44.55</v>
      </c>
      <c r="C15" s="2">
        <v>66.41</v>
      </c>
      <c r="D15" s="2">
        <v>35.31</v>
      </c>
      <c r="E15" s="2">
        <v>24.53</v>
      </c>
      <c r="F15" s="2">
        <v>30.38</v>
      </c>
      <c r="G15" s="2">
        <v>36.450000000000003</v>
      </c>
      <c r="H15" s="2">
        <v>44.55</v>
      </c>
      <c r="I15" s="2">
        <v>50.16</v>
      </c>
      <c r="J15" s="2">
        <v>74.72</v>
      </c>
      <c r="K15" s="2">
        <v>39.76</v>
      </c>
      <c r="L15" s="2">
        <v>27.62</v>
      </c>
      <c r="M15" s="2">
        <v>34.200000000000003</v>
      </c>
      <c r="N15" s="2">
        <v>41.04</v>
      </c>
      <c r="O15" s="2">
        <v>50.16</v>
      </c>
      <c r="P15" s="2">
        <v>70.84</v>
      </c>
      <c r="Q15" s="2">
        <v>105.8</v>
      </c>
      <c r="R15" s="2">
        <v>56.1</v>
      </c>
      <c r="S15" s="2">
        <v>38.770000000000003</v>
      </c>
      <c r="T15" s="2">
        <v>47.52</v>
      </c>
      <c r="U15" s="2">
        <v>52.36</v>
      </c>
      <c r="V15" s="2">
        <v>70.84</v>
      </c>
    </row>
    <row r="16" spans="1:22" x14ac:dyDescent="0.3">
      <c r="A16" s="21">
        <v>2038</v>
      </c>
      <c r="B16" s="2">
        <v>46.58</v>
      </c>
      <c r="C16" s="2">
        <v>70.069999999999993</v>
      </c>
      <c r="D16" s="2">
        <v>36.799999999999997</v>
      </c>
      <c r="E16" s="2">
        <v>25.09</v>
      </c>
      <c r="F16" s="2">
        <v>28.69</v>
      </c>
      <c r="G16" s="2">
        <v>34.43</v>
      </c>
      <c r="H16" s="2">
        <v>46.58</v>
      </c>
      <c r="I16" s="2">
        <v>52.44</v>
      </c>
      <c r="J16" s="2">
        <v>78.849999999999994</v>
      </c>
      <c r="K16" s="2">
        <v>41.44</v>
      </c>
      <c r="L16" s="2">
        <v>28.25</v>
      </c>
      <c r="M16" s="2">
        <v>32.299999999999997</v>
      </c>
      <c r="N16" s="2">
        <v>38.76</v>
      </c>
      <c r="O16" s="2">
        <v>52.44</v>
      </c>
      <c r="P16" s="2">
        <v>75.459999999999994</v>
      </c>
      <c r="Q16" s="2">
        <v>113.79</v>
      </c>
      <c r="R16" s="2">
        <v>59.58</v>
      </c>
      <c r="S16" s="2">
        <v>40.35</v>
      </c>
      <c r="T16" s="2">
        <v>44.88</v>
      </c>
      <c r="U16" s="2">
        <v>47.74</v>
      </c>
      <c r="V16" s="2">
        <v>75.459999999999994</v>
      </c>
    </row>
    <row r="17" spans="1:22" x14ac:dyDescent="0.3">
      <c r="A17" s="21">
        <v>2039</v>
      </c>
      <c r="B17" s="2">
        <v>48.6</v>
      </c>
      <c r="C17" s="2">
        <v>73.739999999999995</v>
      </c>
      <c r="D17" s="2">
        <v>38.299999999999997</v>
      </c>
      <c r="E17" s="2">
        <v>25.64</v>
      </c>
      <c r="F17" s="2">
        <v>27</v>
      </c>
      <c r="G17" s="2">
        <v>32.4</v>
      </c>
      <c r="H17" s="2">
        <v>48.6</v>
      </c>
      <c r="I17" s="2">
        <v>54.72</v>
      </c>
      <c r="J17" s="2">
        <v>82.97</v>
      </c>
      <c r="K17" s="2">
        <v>43.12</v>
      </c>
      <c r="L17" s="2">
        <v>28.88</v>
      </c>
      <c r="M17" s="2">
        <v>30.4</v>
      </c>
      <c r="N17" s="2">
        <v>36.479999999999997</v>
      </c>
      <c r="O17" s="2">
        <v>54.72</v>
      </c>
      <c r="P17" s="2">
        <v>80.08</v>
      </c>
      <c r="Q17" s="2">
        <v>121.78</v>
      </c>
      <c r="R17" s="2">
        <v>63.05</v>
      </c>
      <c r="S17" s="2">
        <v>41.94</v>
      </c>
      <c r="T17" s="2">
        <v>42.24</v>
      </c>
      <c r="U17" s="2">
        <v>43.12</v>
      </c>
      <c r="V17" s="2">
        <v>80.08</v>
      </c>
    </row>
    <row r="18" spans="1:22" x14ac:dyDescent="0.3">
      <c r="A18" s="21">
        <v>2040</v>
      </c>
      <c r="B18" s="2">
        <v>50.63</v>
      </c>
      <c r="C18" s="2">
        <v>77.41</v>
      </c>
      <c r="D18" s="2">
        <v>39.79</v>
      </c>
      <c r="E18" s="2">
        <v>26.2</v>
      </c>
      <c r="F18" s="2">
        <v>25.31</v>
      </c>
      <c r="G18" s="2">
        <v>30.38</v>
      </c>
      <c r="H18" s="2">
        <v>50.63</v>
      </c>
      <c r="I18" s="2">
        <v>57</v>
      </c>
      <c r="J18" s="2">
        <v>87.09</v>
      </c>
      <c r="K18" s="2">
        <v>44.81</v>
      </c>
      <c r="L18" s="2">
        <v>29.5</v>
      </c>
      <c r="M18" s="2">
        <v>28.5</v>
      </c>
      <c r="N18" s="2">
        <v>34.200000000000003</v>
      </c>
      <c r="O18" s="2">
        <v>57</v>
      </c>
      <c r="P18" s="2">
        <v>84.7</v>
      </c>
      <c r="Q18" s="2">
        <v>129.78</v>
      </c>
      <c r="R18" s="2">
        <v>66.52</v>
      </c>
      <c r="S18" s="2">
        <v>43.52</v>
      </c>
      <c r="T18" s="2">
        <v>39.6</v>
      </c>
      <c r="U18" s="2">
        <v>38.5</v>
      </c>
      <c r="V18" s="2">
        <v>84.7</v>
      </c>
    </row>
    <row r="19" spans="1:22" x14ac:dyDescent="0.3">
      <c r="A19" s="21">
        <v>2041</v>
      </c>
      <c r="B19" s="2">
        <v>51.9</v>
      </c>
      <c r="C19" s="2">
        <v>79.81</v>
      </c>
      <c r="D19" s="2">
        <v>40.71</v>
      </c>
      <c r="E19" s="2">
        <v>26.51</v>
      </c>
      <c r="F19" s="2">
        <v>23.63</v>
      </c>
      <c r="G19" s="2">
        <v>31.14</v>
      </c>
      <c r="H19" s="2">
        <v>49.36</v>
      </c>
      <c r="I19" s="2">
        <v>58.43</v>
      </c>
      <c r="J19" s="2">
        <v>89.79</v>
      </c>
      <c r="K19" s="2">
        <v>45.85</v>
      </c>
      <c r="L19" s="2">
        <v>29.85</v>
      </c>
      <c r="M19" s="2">
        <v>26.6</v>
      </c>
      <c r="N19" s="2">
        <v>35.06</v>
      </c>
      <c r="O19" s="2">
        <v>55.58</v>
      </c>
      <c r="P19" s="2">
        <v>87.88</v>
      </c>
      <c r="Q19" s="2">
        <v>135.56</v>
      </c>
      <c r="R19" s="2">
        <v>68.87</v>
      </c>
      <c r="S19" s="2">
        <v>44.49</v>
      </c>
      <c r="T19" s="2">
        <v>36.96</v>
      </c>
      <c r="U19" s="2">
        <v>39.94</v>
      </c>
      <c r="V19" s="2">
        <v>81.52</v>
      </c>
    </row>
    <row r="20" spans="1:22" x14ac:dyDescent="0.3">
      <c r="A20" s="21">
        <v>2042</v>
      </c>
      <c r="B20" s="2">
        <v>53.16</v>
      </c>
      <c r="C20" s="2">
        <v>82.22</v>
      </c>
      <c r="D20" s="2">
        <v>41.63</v>
      </c>
      <c r="E20" s="2">
        <v>26.83</v>
      </c>
      <c r="F20" s="2">
        <v>21.94</v>
      </c>
      <c r="G20" s="2">
        <v>31.9</v>
      </c>
      <c r="H20" s="2">
        <v>48.1</v>
      </c>
      <c r="I20" s="2">
        <v>59.85</v>
      </c>
      <c r="J20" s="2">
        <v>92.49</v>
      </c>
      <c r="K20" s="2">
        <v>46.88</v>
      </c>
      <c r="L20" s="2">
        <v>30.2</v>
      </c>
      <c r="M20" s="2">
        <v>24.7</v>
      </c>
      <c r="N20" s="2">
        <v>35.909999999999997</v>
      </c>
      <c r="O20" s="2">
        <v>54.15</v>
      </c>
      <c r="P20" s="2">
        <v>91.05</v>
      </c>
      <c r="Q20" s="2">
        <v>141.33000000000001</v>
      </c>
      <c r="R20" s="2">
        <v>71.22</v>
      </c>
      <c r="S20" s="2">
        <v>45.46</v>
      </c>
      <c r="T20" s="2">
        <v>34.32</v>
      </c>
      <c r="U20" s="2">
        <v>41.39</v>
      </c>
      <c r="V20" s="2">
        <v>78.349999999999994</v>
      </c>
    </row>
    <row r="21" spans="1:22" x14ac:dyDescent="0.3">
      <c r="A21" s="21">
        <v>2043</v>
      </c>
      <c r="B21" s="2">
        <v>54.43</v>
      </c>
      <c r="C21" s="2">
        <v>84.62</v>
      </c>
      <c r="D21" s="2">
        <v>42.55</v>
      </c>
      <c r="E21" s="2">
        <v>27.14</v>
      </c>
      <c r="F21" s="2">
        <v>20.25</v>
      </c>
      <c r="G21" s="2">
        <v>32.659999999999997</v>
      </c>
      <c r="H21" s="2">
        <v>46.83</v>
      </c>
      <c r="I21" s="2">
        <v>61.28</v>
      </c>
      <c r="J21" s="2">
        <v>95.19</v>
      </c>
      <c r="K21" s="2">
        <v>47.92</v>
      </c>
      <c r="L21" s="2">
        <v>30.56</v>
      </c>
      <c r="M21" s="2">
        <v>22.8</v>
      </c>
      <c r="N21" s="2">
        <v>36.770000000000003</v>
      </c>
      <c r="O21" s="2">
        <v>52.73</v>
      </c>
      <c r="P21" s="2">
        <v>94.23</v>
      </c>
      <c r="Q21" s="2">
        <v>147.11000000000001</v>
      </c>
      <c r="R21" s="2">
        <v>73.569999999999993</v>
      </c>
      <c r="S21" s="2">
        <v>46.42</v>
      </c>
      <c r="T21" s="2">
        <v>31.68</v>
      </c>
      <c r="U21" s="2">
        <v>42.83</v>
      </c>
      <c r="V21" s="2">
        <v>75.17</v>
      </c>
    </row>
    <row r="22" spans="1:22" x14ac:dyDescent="0.3">
      <c r="A22" s="21">
        <v>2044</v>
      </c>
      <c r="B22" s="2">
        <v>55.69</v>
      </c>
      <c r="C22" s="2">
        <v>87.02</v>
      </c>
      <c r="D22" s="2">
        <v>43.47</v>
      </c>
      <c r="E22" s="2">
        <v>27.45</v>
      </c>
      <c r="F22" s="2">
        <v>18.559999999999999</v>
      </c>
      <c r="G22" s="2">
        <v>33.42</v>
      </c>
      <c r="H22" s="2">
        <v>45.57</v>
      </c>
      <c r="I22" s="2">
        <v>62.7</v>
      </c>
      <c r="J22" s="2">
        <v>97.89</v>
      </c>
      <c r="K22" s="2">
        <v>48.96</v>
      </c>
      <c r="L22" s="2">
        <v>30.91</v>
      </c>
      <c r="M22" s="2">
        <v>20.9</v>
      </c>
      <c r="N22" s="2">
        <v>37.619999999999997</v>
      </c>
      <c r="O22" s="2">
        <v>51.3</v>
      </c>
      <c r="P22" s="2">
        <v>97.41</v>
      </c>
      <c r="Q22" s="2">
        <v>152.88</v>
      </c>
      <c r="R22" s="2">
        <v>75.92</v>
      </c>
      <c r="S22" s="2">
        <v>47.39</v>
      </c>
      <c r="T22" s="2">
        <v>29.04</v>
      </c>
      <c r="U22" s="2">
        <v>44.28</v>
      </c>
      <c r="V22" s="2">
        <v>72</v>
      </c>
    </row>
    <row r="23" spans="1:22" x14ac:dyDescent="0.3">
      <c r="A23" s="21">
        <v>2045</v>
      </c>
      <c r="B23" s="2">
        <v>56.96</v>
      </c>
      <c r="C23" s="2">
        <v>89.43</v>
      </c>
      <c r="D23" s="2">
        <v>44.39</v>
      </c>
      <c r="E23" s="2">
        <v>27.76</v>
      </c>
      <c r="F23" s="2">
        <v>16.88</v>
      </c>
      <c r="G23" s="2">
        <v>34.18</v>
      </c>
      <c r="H23" s="2">
        <v>44.3</v>
      </c>
      <c r="I23" s="2">
        <v>64.13</v>
      </c>
      <c r="J23" s="2">
        <v>100.59</v>
      </c>
      <c r="K23" s="2">
        <v>49.99</v>
      </c>
      <c r="L23" s="2">
        <v>31.26</v>
      </c>
      <c r="M23" s="2">
        <v>19</v>
      </c>
      <c r="N23" s="2">
        <v>38.479999999999997</v>
      </c>
      <c r="O23" s="2">
        <v>49.88</v>
      </c>
      <c r="P23" s="2">
        <v>100.58</v>
      </c>
      <c r="Q23" s="2">
        <v>158.66</v>
      </c>
      <c r="R23" s="2">
        <v>78.260000000000005</v>
      </c>
      <c r="S23" s="2">
        <v>48.36</v>
      </c>
      <c r="T23" s="2">
        <v>26.4</v>
      </c>
      <c r="U23" s="2">
        <v>45.72</v>
      </c>
      <c r="V23" s="2">
        <v>68.819999999999993</v>
      </c>
    </row>
    <row r="24" spans="1:22" x14ac:dyDescent="0.3">
      <c r="A24" s="21">
        <v>2046</v>
      </c>
      <c r="B24" s="2">
        <v>58.22</v>
      </c>
      <c r="C24" s="2">
        <v>91.83</v>
      </c>
      <c r="D24" s="2">
        <v>45.31</v>
      </c>
      <c r="E24" s="2">
        <v>28.08</v>
      </c>
      <c r="F24" s="2">
        <v>17.3</v>
      </c>
      <c r="G24" s="2">
        <v>34.94</v>
      </c>
      <c r="H24" s="2">
        <v>44.85</v>
      </c>
      <c r="I24" s="2">
        <v>65.55</v>
      </c>
      <c r="J24" s="2">
        <v>103.29</v>
      </c>
      <c r="K24" s="2">
        <v>51.03</v>
      </c>
      <c r="L24" s="2">
        <v>31.61</v>
      </c>
      <c r="M24" s="2">
        <v>19.48</v>
      </c>
      <c r="N24" s="2">
        <v>39.33</v>
      </c>
      <c r="O24" s="2">
        <v>50.5</v>
      </c>
      <c r="P24" s="2">
        <v>103.76</v>
      </c>
      <c r="Q24" s="2">
        <v>164.43</v>
      </c>
      <c r="R24" s="2">
        <v>80.61</v>
      </c>
      <c r="S24" s="2">
        <v>49.33</v>
      </c>
      <c r="T24" s="2">
        <v>27.06</v>
      </c>
      <c r="U24" s="2">
        <v>47.16</v>
      </c>
      <c r="V24" s="2">
        <v>70.11</v>
      </c>
    </row>
    <row r="25" spans="1:22" x14ac:dyDescent="0.3">
      <c r="A25" s="21">
        <v>2047</v>
      </c>
      <c r="B25" s="2">
        <v>59.49</v>
      </c>
      <c r="C25" s="2">
        <v>94.23</v>
      </c>
      <c r="D25" s="2">
        <v>46.23</v>
      </c>
      <c r="E25" s="2">
        <v>28.39</v>
      </c>
      <c r="F25" s="2">
        <v>17.72</v>
      </c>
      <c r="G25" s="2">
        <v>35.700000000000003</v>
      </c>
      <c r="H25" s="2">
        <v>45.41</v>
      </c>
      <c r="I25" s="2">
        <v>66.98</v>
      </c>
      <c r="J25" s="2">
        <v>105.99</v>
      </c>
      <c r="K25" s="2">
        <v>52.07</v>
      </c>
      <c r="L25" s="2">
        <v>31.96</v>
      </c>
      <c r="M25" s="2">
        <v>19.95</v>
      </c>
      <c r="N25" s="2">
        <v>40.19</v>
      </c>
      <c r="O25" s="2">
        <v>51.13</v>
      </c>
      <c r="P25" s="2">
        <v>106.93</v>
      </c>
      <c r="Q25" s="2">
        <v>170.21</v>
      </c>
      <c r="R25" s="2">
        <v>82.96</v>
      </c>
      <c r="S25" s="2">
        <v>50.3</v>
      </c>
      <c r="T25" s="2">
        <v>27.72</v>
      </c>
      <c r="U25" s="2">
        <v>48.61</v>
      </c>
      <c r="V25" s="2">
        <v>71.400000000000006</v>
      </c>
    </row>
    <row r="26" spans="1:22" x14ac:dyDescent="0.3">
      <c r="A26" s="21">
        <v>2048</v>
      </c>
      <c r="B26" s="2">
        <v>60.76</v>
      </c>
      <c r="C26" s="2">
        <v>96.64</v>
      </c>
      <c r="D26" s="2">
        <v>47.15</v>
      </c>
      <c r="E26" s="2">
        <v>28.7</v>
      </c>
      <c r="F26" s="2">
        <v>18.149999999999999</v>
      </c>
      <c r="G26" s="2">
        <v>36.46</v>
      </c>
      <c r="H26" s="2">
        <v>45.96</v>
      </c>
      <c r="I26" s="2">
        <v>68.400000000000006</v>
      </c>
      <c r="J26" s="2">
        <v>108.69</v>
      </c>
      <c r="K26" s="2">
        <v>53.1</v>
      </c>
      <c r="L26" s="2">
        <v>32.32</v>
      </c>
      <c r="M26" s="2">
        <v>20.43</v>
      </c>
      <c r="N26" s="2">
        <v>41.04</v>
      </c>
      <c r="O26" s="2">
        <v>51.75</v>
      </c>
      <c r="P26" s="2">
        <v>110.11</v>
      </c>
      <c r="Q26" s="2">
        <v>175.98</v>
      </c>
      <c r="R26" s="2">
        <v>85.31</v>
      </c>
      <c r="S26" s="2">
        <v>51.27</v>
      </c>
      <c r="T26" s="2">
        <v>28.38</v>
      </c>
      <c r="U26" s="2">
        <v>50.05</v>
      </c>
      <c r="V26" s="2">
        <v>72.69</v>
      </c>
    </row>
    <row r="27" spans="1:22" x14ac:dyDescent="0.3">
      <c r="A27" s="21">
        <v>2049</v>
      </c>
      <c r="B27" s="2">
        <v>62.02</v>
      </c>
      <c r="C27" s="2">
        <v>99.04</v>
      </c>
      <c r="D27" s="2">
        <v>48.07</v>
      </c>
      <c r="E27" s="2">
        <v>29.01</v>
      </c>
      <c r="F27" s="2">
        <v>18.57</v>
      </c>
      <c r="G27" s="2">
        <v>37.22</v>
      </c>
      <c r="H27" s="2">
        <v>46.52</v>
      </c>
      <c r="I27" s="2">
        <v>69.83</v>
      </c>
      <c r="J27" s="2">
        <v>111.39</v>
      </c>
      <c r="K27" s="2">
        <v>54.14</v>
      </c>
      <c r="L27" s="2">
        <v>32.67</v>
      </c>
      <c r="M27" s="2">
        <v>20.9</v>
      </c>
      <c r="N27" s="2">
        <v>41.9</v>
      </c>
      <c r="O27" s="2">
        <v>52.37</v>
      </c>
      <c r="P27" s="2">
        <v>113.29</v>
      </c>
      <c r="Q27" s="2">
        <v>181.76</v>
      </c>
      <c r="R27" s="2">
        <v>87.66</v>
      </c>
      <c r="S27" s="2">
        <v>52.23</v>
      </c>
      <c r="T27" s="2">
        <v>29.04</v>
      </c>
      <c r="U27" s="2">
        <v>51.49</v>
      </c>
      <c r="V27" s="2">
        <v>73.98</v>
      </c>
    </row>
    <row r="28" spans="1:22" x14ac:dyDescent="0.3">
      <c r="A28" s="21">
        <v>2050</v>
      </c>
      <c r="B28" s="2">
        <v>63.29</v>
      </c>
      <c r="C28" s="2">
        <v>101.44</v>
      </c>
      <c r="D28" s="2">
        <v>48.99</v>
      </c>
      <c r="E28" s="2">
        <v>29.33</v>
      </c>
      <c r="F28" s="2">
        <v>18.989999999999998</v>
      </c>
      <c r="G28" s="2">
        <v>37.979999999999997</v>
      </c>
      <c r="H28" s="2">
        <v>47.07</v>
      </c>
      <c r="I28" s="2">
        <v>71.25</v>
      </c>
      <c r="J28" s="2">
        <v>114.09</v>
      </c>
      <c r="K28" s="2">
        <v>55.18</v>
      </c>
      <c r="L28" s="2">
        <v>33.020000000000003</v>
      </c>
      <c r="M28" s="2">
        <v>21.38</v>
      </c>
      <c r="N28" s="2">
        <v>42.75</v>
      </c>
      <c r="O28" s="2">
        <v>53</v>
      </c>
      <c r="P28" s="2">
        <v>116.46</v>
      </c>
      <c r="Q28" s="2">
        <v>187.53</v>
      </c>
      <c r="R28" s="2">
        <v>90.01</v>
      </c>
      <c r="S28" s="2">
        <v>53.2</v>
      </c>
      <c r="T28" s="2">
        <v>29.7</v>
      </c>
      <c r="U28" s="2">
        <v>52.94</v>
      </c>
      <c r="V28" s="2">
        <v>75.27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12143-63FD-464C-AB9D-3BB96BC699AA}">
  <sheetPr>
    <tabColor rgb="FF00FFFF"/>
  </sheetPr>
  <dimension ref="A1:S28"/>
  <sheetViews>
    <sheetView zoomScale="90" zoomScaleNormal="90" workbookViewId="0">
      <selection activeCell="D31" sqref="D31"/>
    </sheetView>
  </sheetViews>
  <sheetFormatPr defaultRowHeight="14.4" x14ac:dyDescent="0.3"/>
  <cols>
    <col min="2" max="2" width="11.6640625" style="2" customWidth="1"/>
    <col min="3" max="3" width="13.109375" style="2" customWidth="1"/>
    <col min="4" max="4" width="18.109375" customWidth="1"/>
    <col min="5" max="5" width="18.77734375" customWidth="1"/>
    <col min="6" max="6" width="23.44140625" bestFit="1" customWidth="1"/>
    <col min="7" max="9" width="18.77734375" customWidth="1"/>
    <col min="17" max="17" width="19.109375" bestFit="1" customWidth="1"/>
    <col min="18" max="18" width="15.109375" bestFit="1" customWidth="1"/>
    <col min="19" max="19" width="13.33203125" bestFit="1" customWidth="1"/>
  </cols>
  <sheetData>
    <row r="1" spans="1:19" x14ac:dyDescent="0.3">
      <c r="A1" t="s">
        <v>0</v>
      </c>
      <c r="B1" s="4" t="s">
        <v>33</v>
      </c>
      <c r="C1" s="4" t="s">
        <v>32</v>
      </c>
      <c r="D1" s="4" t="s">
        <v>34</v>
      </c>
      <c r="E1" s="4" t="s">
        <v>35</v>
      </c>
      <c r="F1" s="5" t="s">
        <v>8</v>
      </c>
      <c r="G1" s="5" t="s">
        <v>9</v>
      </c>
      <c r="H1" s="5" t="s">
        <v>43</v>
      </c>
      <c r="I1" s="2"/>
      <c r="M1" s="24" t="s">
        <v>36</v>
      </c>
      <c r="N1" s="24"/>
      <c r="O1" s="24"/>
      <c r="P1" s="24"/>
      <c r="Q1" s="24"/>
      <c r="R1" s="24"/>
      <c r="S1" s="24"/>
    </row>
    <row r="2" spans="1:19" x14ac:dyDescent="0.3">
      <c r="A2">
        <v>2024</v>
      </c>
      <c r="B2" s="2">
        <v>16</v>
      </c>
      <c r="C2" s="2">
        <v>16</v>
      </c>
      <c r="D2">
        <v>16</v>
      </c>
      <c r="E2">
        <v>16</v>
      </c>
      <c r="F2">
        <v>16</v>
      </c>
      <c r="G2">
        <v>16</v>
      </c>
      <c r="H2">
        <v>16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44</v>
      </c>
    </row>
    <row r="3" spans="1:19" x14ac:dyDescent="0.3">
      <c r="A3">
        <v>2025</v>
      </c>
      <c r="B3" s="2">
        <f>ROUND($B$2*(1+M3*(A3-$A$2)), 2)</f>
        <v>17.829999999999998</v>
      </c>
      <c r="C3" s="2">
        <f>ROUND($C$2*(1+N3*(A3-$A$2)), 2)</f>
        <v>19.41</v>
      </c>
      <c r="D3">
        <f t="shared" ref="D3:D8" si="0">ROUND($D$2*(1+O3*(A3-$A$2)), 2)</f>
        <v>17.02</v>
      </c>
      <c r="E3">
        <f t="shared" ref="E3:E8" si="1">ROUND($E$2*(1+P3*(A3-$A$2)), 2)</f>
        <v>16.48</v>
      </c>
      <c r="F3">
        <f>ROUND($F$2*(1+Q3*(A3-$A$2)), 2)</f>
        <v>17.829999999999998</v>
      </c>
      <c r="G3">
        <f>ROUND($G$2*(1+R3*(A3-$A$2)), 2)</f>
        <v>17.829999999999998</v>
      </c>
      <c r="H3">
        <f>ROUND($H$2*(1+S3*(A3-$A$2)), 2)</f>
        <v>17.829999999999998</v>
      </c>
      <c r="L3" s="2">
        <v>2025</v>
      </c>
      <c r="M3" s="8" t="str">
        <f>HYPERLINK("#Assumption!B7","0.114583")</f>
        <v>0.114583</v>
      </c>
      <c r="N3" s="8" t="str">
        <f>HYPERLINK("#Assumption!B20","0.212916")</f>
        <v>0.212916</v>
      </c>
      <c r="O3" s="8" t="str">
        <f>HYPERLINK("#Assumption!B39","0.063536")</f>
        <v>0.063536</v>
      </c>
      <c r="P3" s="8" t="str">
        <f>HYPERLINK("#Assumption!B58","0.030208")</f>
        <v>0.030208</v>
      </c>
      <c r="Q3" s="8" t="str">
        <f>HYPERLINK("#Assumption!B77","0.114583333")</f>
        <v>0.114583333</v>
      </c>
      <c r="R3" s="8" t="str">
        <f>HYPERLINK("#Assumption!B90","0.114583333")</f>
        <v>0.114583333</v>
      </c>
      <c r="S3" s="8" t="str">
        <f>HYPERLINK("#Assumption!B102","0.114583333")</f>
        <v>0.114583333</v>
      </c>
    </row>
    <row r="4" spans="1:19" x14ac:dyDescent="0.3">
      <c r="A4">
        <v>2026</v>
      </c>
      <c r="B4" s="2">
        <f t="shared" ref="B4:B8" si="2">ROUND($B$2*(1+M4*(A4-$A$2)), 2)</f>
        <v>19.670000000000002</v>
      </c>
      <c r="C4" s="2">
        <f t="shared" ref="C4:C8" si="3">ROUND($C$2*(1+N4*(A4-$A$2)), 2)</f>
        <v>22.81</v>
      </c>
      <c r="D4">
        <f t="shared" si="0"/>
        <v>18.03</v>
      </c>
      <c r="E4">
        <f t="shared" si="1"/>
        <v>16.97</v>
      </c>
      <c r="F4">
        <f t="shared" ref="F4:F8" si="4">ROUND($F$2*(1+Q4*(A4-$A$2)), 2)</f>
        <v>19.670000000000002</v>
      </c>
      <c r="G4">
        <f t="shared" ref="G4:G8" si="5">ROUND($G$2*(1+R4*(A4-$A$2)), 2)</f>
        <v>19.670000000000002</v>
      </c>
      <c r="H4">
        <f t="shared" ref="H4:H8" si="6">ROUND($H$2*(1+S4*(A4-$A$2)), 2)</f>
        <v>19.670000000000002</v>
      </c>
      <c r="L4" s="2">
        <v>2026</v>
      </c>
      <c r="M4" s="8" t="str">
        <f t="shared" ref="M4:M8" si="7">HYPERLINK("#Assumption!B7","0.114583")</f>
        <v>0.114583</v>
      </c>
      <c r="N4" s="8" t="str">
        <f t="shared" ref="N4:N8" si="8">HYPERLINK("#Assumption!B20","0.212916")</f>
        <v>0.212916</v>
      </c>
      <c r="O4" s="8" t="str">
        <f t="shared" ref="O4:O8" si="9">HYPERLINK("#Assumption!B39","0.063536")</f>
        <v>0.063536</v>
      </c>
      <c r="P4" s="8" t="str">
        <f t="shared" ref="P4:P8" si="10">HYPERLINK("#Assumption!B58","0.030208")</f>
        <v>0.030208</v>
      </c>
      <c r="Q4" s="8" t="str">
        <f t="shared" ref="Q4:Q8" si="11">HYPERLINK("#Assumption!B77","0.114583333")</f>
        <v>0.114583333</v>
      </c>
      <c r="R4" s="8" t="str">
        <f t="shared" ref="R4:R8" si="12">HYPERLINK("#Assumption!B90","0.114583333")</f>
        <v>0.114583333</v>
      </c>
      <c r="S4" s="8" t="str">
        <f t="shared" ref="S4:S8" si="13">HYPERLINK("#Assumption!B102","0.114583333")</f>
        <v>0.114583333</v>
      </c>
    </row>
    <row r="5" spans="1:19" x14ac:dyDescent="0.3">
      <c r="A5">
        <v>2027</v>
      </c>
      <c r="B5" s="2">
        <f t="shared" si="2"/>
        <v>21.5</v>
      </c>
      <c r="C5" s="2">
        <f t="shared" si="3"/>
        <v>26.22</v>
      </c>
      <c r="D5">
        <f t="shared" si="0"/>
        <v>19.05</v>
      </c>
      <c r="E5">
        <f t="shared" si="1"/>
        <v>17.45</v>
      </c>
      <c r="F5">
        <f t="shared" si="4"/>
        <v>21.5</v>
      </c>
      <c r="G5">
        <f t="shared" si="5"/>
        <v>21.5</v>
      </c>
      <c r="H5">
        <f t="shared" si="6"/>
        <v>21.5</v>
      </c>
      <c r="L5" s="2">
        <v>2027</v>
      </c>
      <c r="M5" s="8" t="str">
        <f t="shared" si="7"/>
        <v>0.114583</v>
      </c>
      <c r="N5" s="8" t="str">
        <f t="shared" si="8"/>
        <v>0.212916</v>
      </c>
      <c r="O5" s="8" t="str">
        <f t="shared" si="9"/>
        <v>0.063536</v>
      </c>
      <c r="P5" s="8" t="str">
        <f t="shared" si="10"/>
        <v>0.030208</v>
      </c>
      <c r="Q5" s="8" t="str">
        <f t="shared" si="11"/>
        <v>0.114583333</v>
      </c>
      <c r="R5" s="8" t="str">
        <f t="shared" si="12"/>
        <v>0.114583333</v>
      </c>
      <c r="S5" s="8" t="str">
        <f t="shared" si="13"/>
        <v>0.114583333</v>
      </c>
    </row>
    <row r="6" spans="1:19" x14ac:dyDescent="0.3">
      <c r="A6">
        <v>2028</v>
      </c>
      <c r="B6" s="2">
        <f t="shared" si="2"/>
        <v>23.33</v>
      </c>
      <c r="C6" s="2">
        <f t="shared" si="3"/>
        <v>29.63</v>
      </c>
      <c r="D6">
        <f t="shared" si="0"/>
        <v>20.07</v>
      </c>
      <c r="E6">
        <f t="shared" si="1"/>
        <v>17.93</v>
      </c>
      <c r="F6">
        <f t="shared" si="4"/>
        <v>23.33</v>
      </c>
      <c r="G6">
        <f t="shared" si="5"/>
        <v>23.33</v>
      </c>
      <c r="H6">
        <f t="shared" si="6"/>
        <v>23.33</v>
      </c>
      <c r="L6" s="2">
        <v>2028</v>
      </c>
      <c r="M6" s="8" t="str">
        <f t="shared" si="7"/>
        <v>0.114583</v>
      </c>
      <c r="N6" s="8" t="str">
        <f t="shared" si="8"/>
        <v>0.212916</v>
      </c>
      <c r="O6" s="8" t="str">
        <f t="shared" si="9"/>
        <v>0.063536</v>
      </c>
      <c r="P6" s="8" t="str">
        <f t="shared" si="10"/>
        <v>0.030208</v>
      </c>
      <c r="Q6" s="8" t="str">
        <f t="shared" si="11"/>
        <v>0.114583333</v>
      </c>
      <c r="R6" s="8" t="str">
        <f t="shared" si="12"/>
        <v>0.114583333</v>
      </c>
      <c r="S6" s="8" t="str">
        <f t="shared" si="13"/>
        <v>0.114583333</v>
      </c>
    </row>
    <row r="7" spans="1:19" x14ac:dyDescent="0.3">
      <c r="A7">
        <v>2029</v>
      </c>
      <c r="B7" s="2">
        <f t="shared" si="2"/>
        <v>25.17</v>
      </c>
      <c r="C7" s="2">
        <f t="shared" si="3"/>
        <v>33.03</v>
      </c>
      <c r="D7">
        <f t="shared" si="0"/>
        <v>21.08</v>
      </c>
      <c r="E7">
        <f t="shared" si="1"/>
        <v>18.420000000000002</v>
      </c>
      <c r="F7">
        <f t="shared" si="4"/>
        <v>25.17</v>
      </c>
      <c r="G7">
        <f t="shared" si="5"/>
        <v>25.17</v>
      </c>
      <c r="H7">
        <f t="shared" si="6"/>
        <v>25.17</v>
      </c>
      <c r="L7" s="2">
        <v>2029</v>
      </c>
      <c r="M7" s="8" t="str">
        <f t="shared" si="7"/>
        <v>0.114583</v>
      </c>
      <c r="N7" s="8" t="str">
        <f t="shared" si="8"/>
        <v>0.212916</v>
      </c>
      <c r="O7" s="8" t="str">
        <f t="shared" si="9"/>
        <v>0.063536</v>
      </c>
      <c r="P7" s="8" t="str">
        <f t="shared" si="10"/>
        <v>0.030208</v>
      </c>
      <c r="Q7" s="8" t="str">
        <f t="shared" si="11"/>
        <v>0.114583333</v>
      </c>
      <c r="R7" s="8" t="str">
        <f t="shared" si="12"/>
        <v>0.114583333</v>
      </c>
      <c r="S7" s="8" t="str">
        <f t="shared" si="13"/>
        <v>0.114583333</v>
      </c>
    </row>
    <row r="8" spans="1:19" x14ac:dyDescent="0.3">
      <c r="A8">
        <v>2030</v>
      </c>
      <c r="B8" s="2">
        <f t="shared" si="2"/>
        <v>27</v>
      </c>
      <c r="C8" s="2">
        <f t="shared" si="3"/>
        <v>36.44</v>
      </c>
      <c r="D8">
        <f t="shared" si="0"/>
        <v>22.1</v>
      </c>
      <c r="E8">
        <f t="shared" si="1"/>
        <v>18.899999999999999</v>
      </c>
      <c r="F8">
        <f t="shared" si="4"/>
        <v>27</v>
      </c>
      <c r="G8">
        <f t="shared" si="5"/>
        <v>27</v>
      </c>
      <c r="H8">
        <f t="shared" si="6"/>
        <v>27</v>
      </c>
      <c r="I8">
        <f>C8/B8</f>
        <v>1.3496296296296295</v>
      </c>
      <c r="L8" s="2">
        <v>2030</v>
      </c>
      <c r="M8" s="8" t="str">
        <f t="shared" si="7"/>
        <v>0.114583</v>
      </c>
      <c r="N8" s="8" t="str">
        <f t="shared" si="8"/>
        <v>0.212916</v>
      </c>
      <c r="O8" s="8" t="str">
        <f t="shared" si="9"/>
        <v>0.063536</v>
      </c>
      <c r="P8" s="8" t="str">
        <f t="shared" si="10"/>
        <v>0.030208</v>
      </c>
      <c r="Q8" s="8" t="str">
        <f t="shared" si="11"/>
        <v>0.114583333</v>
      </c>
      <c r="R8" s="8" t="str">
        <f t="shared" si="12"/>
        <v>0.114583333</v>
      </c>
      <c r="S8" s="8" t="str">
        <f t="shared" si="13"/>
        <v>0.114583333</v>
      </c>
    </row>
    <row r="9" spans="1:19" x14ac:dyDescent="0.3">
      <c r="A9">
        <v>2031</v>
      </c>
      <c r="B9" s="2">
        <f>ROUND($B$8*(1+M9*(A9-$A$8)), 2)</f>
        <v>29.7</v>
      </c>
      <c r="C9" s="2">
        <f>ROUND($C$8*(1+N9*(A9-$A$8)), 2)</f>
        <v>40.97</v>
      </c>
      <c r="D9">
        <f>ROUND($D$8*(1+O9*(A9-$A$8)), 2)</f>
        <v>24.14</v>
      </c>
      <c r="E9">
        <f>ROUND($E$8*(1+P9*(A9-$A$8)), 2)</f>
        <v>19.8</v>
      </c>
      <c r="F9">
        <f>ROUND($F$8*(1+Q9*(A9-$A$8)), 2)</f>
        <v>28.35</v>
      </c>
      <c r="G9">
        <f>ROUND($G$8*(1+R9*(A9-$A$8)), 2)</f>
        <v>29.7</v>
      </c>
      <c r="H9">
        <f>ROUND($H$8*(1+S9*(A9-$A$8)), 2)</f>
        <v>29.7</v>
      </c>
      <c r="L9" s="2">
        <v>2031</v>
      </c>
      <c r="M9" s="8" t="str">
        <f>HYPERLINK("#Assumption!B11","0.1")</f>
        <v>0.1</v>
      </c>
      <c r="N9" s="8" t="str">
        <f>HYPERLINK("#Assumption!B26","0.12419")</f>
        <v>0.12419</v>
      </c>
      <c r="O9" s="8" t="str">
        <f>HYPERLINK("#Assumption!B45","0.092486")</f>
        <v>0.092486</v>
      </c>
      <c r="P9" s="8" t="str">
        <f>HYPERLINK("#Assumption!B64","0.04771")</f>
        <v>0.04771</v>
      </c>
      <c r="Q9" s="8" t="str">
        <f>HYPERLINK("#Assumption!B80","0.05")</f>
        <v>0.05</v>
      </c>
      <c r="R9" s="8" t="str">
        <f>HYPERLINK("#Assumption!B93","0.1")</f>
        <v>0.1</v>
      </c>
      <c r="S9" s="8" t="str">
        <f>HYPERLINK("#Assumption!B105","0.1")</f>
        <v>0.1</v>
      </c>
    </row>
    <row r="10" spans="1:19" x14ac:dyDescent="0.3">
      <c r="A10">
        <v>2032</v>
      </c>
      <c r="B10" s="2">
        <f>ROUND($B$8*(1+M10*(A10-$A$8)), 2)</f>
        <v>32.4</v>
      </c>
      <c r="C10" s="2">
        <f t="shared" ref="C10:C13" si="14">ROUND($C$8*(1+N10*(A10-$A$8)), 2)</f>
        <v>45.49</v>
      </c>
      <c r="D10">
        <f>ROUND($D$8*(1+O10*(A10-$A$8)), 2)</f>
        <v>26.19</v>
      </c>
      <c r="E10">
        <f>ROUND($E$8*(1+P10*(A10-$A$8)), 2)</f>
        <v>20.7</v>
      </c>
      <c r="F10">
        <f t="shared" ref="F10:F11" si="15">ROUND($F$8*(1+Q10*(A10-$A$8)), 2)</f>
        <v>29.7</v>
      </c>
      <c r="G10">
        <f t="shared" ref="G10:G13" si="16">ROUND($G$8*(1+R10*(A10-$A$8)), 2)</f>
        <v>32.4</v>
      </c>
      <c r="H10">
        <f t="shared" ref="H10:H13" si="17">ROUND($H$8*(1+S10*(A10-$A$8)), 2)</f>
        <v>32.4</v>
      </c>
      <c r="L10" s="2">
        <v>2032</v>
      </c>
      <c r="M10" s="8" t="str">
        <f t="shared" ref="M10:M13" si="18">HYPERLINK("#Assumption!B11","0.1")</f>
        <v>0.1</v>
      </c>
      <c r="N10" s="8" t="str">
        <f t="shared" ref="N10:N13" si="19">HYPERLINK("#Assumption!B26","0.12419")</f>
        <v>0.12419</v>
      </c>
      <c r="O10" s="8" t="str">
        <f t="shared" ref="O10:O13" si="20">HYPERLINK("#Assumption!B45","0.092486")</f>
        <v>0.092486</v>
      </c>
      <c r="P10" s="8" t="str">
        <f t="shared" ref="P10:P13" si="21">HYPERLINK("#Assumption!B64","0.04771")</f>
        <v>0.04771</v>
      </c>
      <c r="Q10" s="8" t="str">
        <f t="shared" ref="Q10:Q13" si="22">HYPERLINK("#Assumption!B80","0.05")</f>
        <v>0.05</v>
      </c>
      <c r="R10" s="8" t="str">
        <f t="shared" ref="R10:R13" si="23">HYPERLINK("#Assumption!B93","0.1")</f>
        <v>0.1</v>
      </c>
      <c r="S10" s="8" t="str">
        <f t="shared" ref="S10:S13" si="24">HYPERLINK("#Assumption!B105","0.1")</f>
        <v>0.1</v>
      </c>
    </row>
    <row r="11" spans="1:19" x14ac:dyDescent="0.3">
      <c r="A11">
        <v>2033</v>
      </c>
      <c r="B11" s="2">
        <f>ROUND($B$8*(1+M11*(A11-$A$8)), 2)</f>
        <v>35.1</v>
      </c>
      <c r="C11" s="2">
        <f t="shared" si="14"/>
        <v>50.02</v>
      </c>
      <c r="D11">
        <f>ROUND($D$8*(1+O11*(A11-$A$8)), 2)</f>
        <v>28.23</v>
      </c>
      <c r="E11">
        <f>ROUND($E$8*(1+P11*(A11-$A$8)), 2)</f>
        <v>21.61</v>
      </c>
      <c r="F11">
        <f t="shared" si="15"/>
        <v>31.05</v>
      </c>
      <c r="G11">
        <f t="shared" si="16"/>
        <v>35.1</v>
      </c>
      <c r="H11">
        <f t="shared" si="17"/>
        <v>35.1</v>
      </c>
      <c r="L11" s="2">
        <v>2033</v>
      </c>
      <c r="M11" s="8" t="str">
        <f t="shared" si="18"/>
        <v>0.1</v>
      </c>
      <c r="N11" s="8" t="str">
        <f t="shared" si="19"/>
        <v>0.12419</v>
      </c>
      <c r="O11" s="8" t="str">
        <f t="shared" si="20"/>
        <v>0.092486</v>
      </c>
      <c r="P11" s="8" t="str">
        <f t="shared" si="21"/>
        <v>0.04771</v>
      </c>
      <c r="Q11" s="8" t="str">
        <f t="shared" si="22"/>
        <v>0.05</v>
      </c>
      <c r="R11" s="8" t="str">
        <f t="shared" si="23"/>
        <v>0.1</v>
      </c>
      <c r="S11" s="8" t="str">
        <f t="shared" si="24"/>
        <v>0.1</v>
      </c>
    </row>
    <row r="12" spans="1:19" x14ac:dyDescent="0.3">
      <c r="A12">
        <v>2034</v>
      </c>
      <c r="B12" s="2">
        <f>ROUND($B$8*(1+M12*(A12-$A$8)), 2)</f>
        <v>37.799999999999997</v>
      </c>
      <c r="C12" s="2">
        <f t="shared" si="14"/>
        <v>54.54</v>
      </c>
      <c r="D12">
        <f>ROUND($D$8*(1+O12*(A12-$A$8)), 2)</f>
        <v>30.28</v>
      </c>
      <c r="E12">
        <f>ROUND($E$8*(1+P12*(A12-$A$8)), 2)</f>
        <v>22.51</v>
      </c>
      <c r="F12">
        <f>ROUND($F$8*(1+Q12*(A12-$A$8)), 2)</f>
        <v>32.4</v>
      </c>
      <c r="G12">
        <f t="shared" si="16"/>
        <v>37.799999999999997</v>
      </c>
      <c r="H12">
        <f t="shared" si="17"/>
        <v>37.799999999999997</v>
      </c>
      <c r="L12" s="2">
        <v>2034</v>
      </c>
      <c r="M12" s="8" t="str">
        <f t="shared" si="18"/>
        <v>0.1</v>
      </c>
      <c r="N12" s="8" t="str">
        <f t="shared" si="19"/>
        <v>0.12419</v>
      </c>
      <c r="O12" s="8" t="str">
        <f t="shared" si="20"/>
        <v>0.092486</v>
      </c>
      <c r="P12" s="8" t="str">
        <f t="shared" si="21"/>
        <v>0.04771</v>
      </c>
      <c r="Q12" s="8" t="str">
        <f t="shared" si="22"/>
        <v>0.05</v>
      </c>
      <c r="R12" s="8" t="str">
        <f t="shared" si="23"/>
        <v>0.1</v>
      </c>
      <c r="S12" s="8" t="str">
        <f t="shared" si="24"/>
        <v>0.1</v>
      </c>
    </row>
    <row r="13" spans="1:19" x14ac:dyDescent="0.3">
      <c r="A13">
        <v>2035</v>
      </c>
      <c r="B13" s="2">
        <f>ROUND($B$8*(1+M13*(A13-$A$8)), 2)</f>
        <v>40.5</v>
      </c>
      <c r="C13" s="2">
        <f t="shared" si="14"/>
        <v>59.07</v>
      </c>
      <c r="D13">
        <f>ROUND($D$8*(1+O13*(A13-$A$8)), 2)</f>
        <v>32.32</v>
      </c>
      <c r="E13">
        <f>ROUND($E$8*(1+P13*(A13-$A$8)), 2)</f>
        <v>23.41</v>
      </c>
      <c r="F13">
        <f>ROUND($F$8*(1+Q13*(A13-$A$8)), 2)</f>
        <v>33.75</v>
      </c>
      <c r="G13">
        <f t="shared" si="16"/>
        <v>40.5</v>
      </c>
      <c r="H13">
        <f t="shared" si="17"/>
        <v>40.5</v>
      </c>
      <c r="I13">
        <f>C13/B13</f>
        <v>1.4585185185185185</v>
      </c>
      <c r="L13" s="2">
        <v>2035</v>
      </c>
      <c r="M13" s="8" t="str">
        <f t="shared" si="18"/>
        <v>0.1</v>
      </c>
      <c r="N13" s="8" t="str">
        <f t="shared" si="19"/>
        <v>0.12419</v>
      </c>
      <c r="O13" s="8" t="str">
        <f t="shared" si="20"/>
        <v>0.092486</v>
      </c>
      <c r="P13" s="8" t="str">
        <f t="shared" si="21"/>
        <v>0.04771</v>
      </c>
      <c r="Q13" s="8" t="str">
        <f t="shared" si="22"/>
        <v>0.05</v>
      </c>
      <c r="R13" s="8" t="str">
        <f t="shared" si="23"/>
        <v>0.1</v>
      </c>
      <c r="S13" s="8" t="str">
        <f t="shared" si="24"/>
        <v>0.1</v>
      </c>
    </row>
    <row r="14" spans="1:19" x14ac:dyDescent="0.3">
      <c r="A14">
        <v>2036</v>
      </c>
      <c r="B14" s="2">
        <f>ROUND($B$13*(1+M14*(A14-$A$13)), 2)</f>
        <v>42.53</v>
      </c>
      <c r="C14" s="2">
        <f>ROUND($C$13*(1+N14*(A14-$A$13)), 2)</f>
        <v>62.74</v>
      </c>
      <c r="D14">
        <f>ROUND($D$13*(1+O14*(A14-$A$13)), 2)</f>
        <v>33.81</v>
      </c>
      <c r="E14">
        <f>ROUND($E$13*(1+P14*(A14-$A$13)), 2)</f>
        <v>23.97</v>
      </c>
      <c r="F14">
        <f>ROUND($F$13*(1+Q14*(A14-$A$13)), 2)</f>
        <v>32.06</v>
      </c>
      <c r="G14">
        <f>ROUND($G$13*(1+R14*(A14-$A$13)), 2)</f>
        <v>38.479999999999997</v>
      </c>
      <c r="H14">
        <f>ROUND($H$13*(1+S14*(A14-$A$13)), 2)</f>
        <v>42.53</v>
      </c>
      <c r="L14" s="2">
        <v>2036</v>
      </c>
      <c r="M14" s="8" t="str">
        <f>HYPERLINK("#Assumption!B13","0.05")</f>
        <v>0.05</v>
      </c>
      <c r="N14" s="8" t="str">
        <f>HYPERLINK("#Assumption!B32","0.062095")</f>
        <v>0.062095</v>
      </c>
      <c r="O14" s="8" t="str">
        <f>HYPERLINK("#Assumption!B46","0.046243")</f>
        <v>0.046243</v>
      </c>
      <c r="P14" s="8" t="str">
        <f>HYPERLINK("#Assumption!B70","0.023855")</f>
        <v>0.023855</v>
      </c>
      <c r="Q14" s="8" t="str">
        <f>HYPERLINK("#Assumption!B83","-0.05")</f>
        <v>-0.05</v>
      </c>
      <c r="R14" s="8" t="str">
        <f>HYPERLINK("#Assumption!B95","-0.05")</f>
        <v>-0.05</v>
      </c>
      <c r="S14" s="8" t="str">
        <f>HYPERLINK("#Assumption!B107","0.05")</f>
        <v>0.05</v>
      </c>
    </row>
    <row r="15" spans="1:19" x14ac:dyDescent="0.3">
      <c r="A15">
        <v>2037</v>
      </c>
      <c r="B15" s="2">
        <f t="shared" ref="B15:B18" si="25">ROUND($B$13*(1+M15*(A15-$A$13)), 2)</f>
        <v>44.55</v>
      </c>
      <c r="C15" s="2">
        <f t="shared" ref="C15:C18" si="26">ROUND($C$13*(1+N15*(A15-$A$13)), 2)</f>
        <v>66.41</v>
      </c>
      <c r="D15">
        <f t="shared" ref="D15:D18" si="27">ROUND($D$13*(1+O15*(A15-$A$13)), 2)</f>
        <v>35.31</v>
      </c>
      <c r="E15">
        <f t="shared" ref="E15:E18" si="28">ROUND($E$13*(1+P15*(A15-$A$13)), 2)</f>
        <v>24.53</v>
      </c>
      <c r="F15">
        <f>ROUND($F$13*(1+Q15*(A15-$A$13)), 2)</f>
        <v>30.38</v>
      </c>
      <c r="G15">
        <f t="shared" ref="G15:G18" si="29">ROUND($G$13*(1+R15*(A15-$A$13)), 2)</f>
        <v>36.450000000000003</v>
      </c>
      <c r="H15">
        <f t="shared" ref="H15:H18" si="30">ROUND($H$13*(1+S15*(A15-$A$13)), 2)</f>
        <v>44.55</v>
      </c>
      <c r="L15" s="2">
        <v>2037</v>
      </c>
      <c r="M15" s="8" t="str">
        <f t="shared" ref="M15:M18" si="31">HYPERLINK("#Assumption!B13","0.05")</f>
        <v>0.05</v>
      </c>
      <c r="N15" s="8" t="str">
        <f t="shared" ref="N15:N18" si="32">HYPERLINK("#Assumption!B32","0.062095")</f>
        <v>0.062095</v>
      </c>
      <c r="O15" s="8" t="str">
        <f t="shared" ref="O15:O18" si="33">HYPERLINK("#Assumption!B46","0.046243")</f>
        <v>0.046243</v>
      </c>
      <c r="P15" s="8" t="str">
        <f t="shared" ref="P15:P18" si="34">HYPERLINK("#Assumption!B70","0.023855")</f>
        <v>0.023855</v>
      </c>
      <c r="Q15" s="8" t="str">
        <f t="shared" ref="Q15:Q23" si="35">HYPERLINK("#Assumption!B83","-0.05")</f>
        <v>-0.05</v>
      </c>
      <c r="R15" s="8" t="str">
        <f t="shared" ref="R15:R18" si="36">HYPERLINK("#Assumption!B95","-0.05")</f>
        <v>-0.05</v>
      </c>
      <c r="S15" s="8" t="str">
        <f t="shared" ref="S15:S18" si="37">HYPERLINK("#Assumption!B107","0.05")</f>
        <v>0.05</v>
      </c>
    </row>
    <row r="16" spans="1:19" x14ac:dyDescent="0.3">
      <c r="A16">
        <v>2038</v>
      </c>
      <c r="B16" s="2">
        <f t="shared" si="25"/>
        <v>46.58</v>
      </c>
      <c r="C16" s="2">
        <f t="shared" si="26"/>
        <v>70.069999999999993</v>
      </c>
      <c r="D16">
        <f t="shared" si="27"/>
        <v>36.799999999999997</v>
      </c>
      <c r="E16">
        <f t="shared" si="28"/>
        <v>25.09</v>
      </c>
      <c r="F16">
        <f t="shared" ref="F16:F18" si="38">ROUND($F$13*(1+Q16*(A16-$A$13)), 2)</f>
        <v>28.69</v>
      </c>
      <c r="G16">
        <f t="shared" si="29"/>
        <v>34.43</v>
      </c>
      <c r="H16">
        <f t="shared" si="30"/>
        <v>46.58</v>
      </c>
      <c r="L16" s="2">
        <v>2038</v>
      </c>
      <c r="M16" s="8" t="str">
        <f t="shared" si="31"/>
        <v>0.05</v>
      </c>
      <c r="N16" s="8" t="str">
        <f t="shared" si="32"/>
        <v>0.062095</v>
      </c>
      <c r="O16" s="8" t="str">
        <f t="shared" si="33"/>
        <v>0.046243</v>
      </c>
      <c r="P16" s="8" t="str">
        <f t="shared" si="34"/>
        <v>0.023855</v>
      </c>
      <c r="Q16" s="8" t="str">
        <f t="shared" si="35"/>
        <v>-0.05</v>
      </c>
      <c r="R16" s="8" t="str">
        <f t="shared" si="36"/>
        <v>-0.05</v>
      </c>
      <c r="S16" s="8" t="str">
        <f t="shared" si="37"/>
        <v>0.05</v>
      </c>
    </row>
    <row r="17" spans="1:19" x14ac:dyDescent="0.3">
      <c r="A17">
        <v>2039</v>
      </c>
      <c r="B17" s="2">
        <f t="shared" si="25"/>
        <v>48.6</v>
      </c>
      <c r="C17" s="2">
        <f t="shared" si="26"/>
        <v>73.739999999999995</v>
      </c>
      <c r="D17">
        <f t="shared" si="27"/>
        <v>38.299999999999997</v>
      </c>
      <c r="E17">
        <f t="shared" si="28"/>
        <v>25.64</v>
      </c>
      <c r="F17">
        <f t="shared" si="38"/>
        <v>27</v>
      </c>
      <c r="G17">
        <f t="shared" si="29"/>
        <v>32.4</v>
      </c>
      <c r="H17">
        <f t="shared" si="30"/>
        <v>48.6</v>
      </c>
      <c r="L17" s="2">
        <v>2039</v>
      </c>
      <c r="M17" s="8" t="str">
        <f t="shared" si="31"/>
        <v>0.05</v>
      </c>
      <c r="N17" s="8" t="str">
        <f t="shared" si="32"/>
        <v>0.062095</v>
      </c>
      <c r="O17" s="8" t="str">
        <f t="shared" si="33"/>
        <v>0.046243</v>
      </c>
      <c r="P17" s="8" t="str">
        <f t="shared" si="34"/>
        <v>0.023855</v>
      </c>
      <c r="Q17" s="8" t="str">
        <f t="shared" si="35"/>
        <v>-0.05</v>
      </c>
      <c r="R17" s="8" t="str">
        <f t="shared" si="36"/>
        <v>-0.05</v>
      </c>
      <c r="S17" s="8" t="str">
        <f t="shared" si="37"/>
        <v>0.05</v>
      </c>
    </row>
    <row r="18" spans="1:19" x14ac:dyDescent="0.3">
      <c r="A18">
        <v>2040</v>
      </c>
      <c r="B18" s="2">
        <f t="shared" si="25"/>
        <v>50.63</v>
      </c>
      <c r="C18" s="2">
        <f t="shared" si="26"/>
        <v>77.41</v>
      </c>
      <c r="D18">
        <f t="shared" si="27"/>
        <v>39.79</v>
      </c>
      <c r="E18">
        <f t="shared" si="28"/>
        <v>26.2</v>
      </c>
      <c r="F18">
        <f t="shared" si="38"/>
        <v>25.31</v>
      </c>
      <c r="G18">
        <f t="shared" si="29"/>
        <v>30.38</v>
      </c>
      <c r="H18">
        <f t="shared" si="30"/>
        <v>50.63</v>
      </c>
      <c r="L18" s="2">
        <v>2040</v>
      </c>
      <c r="M18" s="8" t="str">
        <f t="shared" si="31"/>
        <v>0.05</v>
      </c>
      <c r="N18" s="8" t="str">
        <f t="shared" si="32"/>
        <v>0.062095</v>
      </c>
      <c r="O18" s="8" t="str">
        <f t="shared" si="33"/>
        <v>0.046243</v>
      </c>
      <c r="P18" s="8" t="str">
        <f t="shared" si="34"/>
        <v>0.023855</v>
      </c>
      <c r="Q18" s="8" t="str">
        <f t="shared" si="35"/>
        <v>-0.05</v>
      </c>
      <c r="R18" s="8" t="str">
        <f t="shared" si="36"/>
        <v>-0.05</v>
      </c>
      <c r="S18" s="8" t="str">
        <f t="shared" si="37"/>
        <v>0.05</v>
      </c>
    </row>
    <row r="19" spans="1:19" x14ac:dyDescent="0.3">
      <c r="A19">
        <v>2041</v>
      </c>
      <c r="B19" s="2">
        <f>ROUND($B$18*(1+M19*(A19-$A$18)), 2)</f>
        <v>51.9</v>
      </c>
      <c r="C19" s="2">
        <f>ROUND($C$18*(1+N19*(A19-$A$18)), 2)</f>
        <v>79.81</v>
      </c>
      <c r="D19">
        <f>ROUND($D$18*(1+O19*(A19-$A$18)), 2)</f>
        <v>40.71</v>
      </c>
      <c r="E19">
        <f>ROUND($E$18*(1+P19*(A19-$A$18)), 2)</f>
        <v>26.51</v>
      </c>
      <c r="F19">
        <f>ROUND($F$13*(1+Q19*(A19-$A$13)), 2)</f>
        <v>23.63</v>
      </c>
      <c r="G19">
        <f>ROUND($G$18*(1+R19*(A19-$A$18)), 2)</f>
        <v>31.14</v>
      </c>
      <c r="H19">
        <f>ROUND($H$18*(1+S19*(A19-$A$18)), 2)</f>
        <v>49.36</v>
      </c>
      <c r="L19" s="2">
        <v>2041</v>
      </c>
      <c r="M19" s="8" t="str">
        <f>HYPERLINK("#Assumption!B16","0.025")</f>
        <v>0.025</v>
      </c>
      <c r="N19" s="8" t="str">
        <f>HYPERLINK("#Assumption!B35","0.031048")</f>
        <v>0.031048</v>
      </c>
      <c r="O19" s="8" t="str">
        <f>HYPERLINK("#Assumption!B49","0.023122")</f>
        <v>0.023122</v>
      </c>
      <c r="P19" s="8" t="str">
        <f>HYPERLINK("#Assumption!B73","0.011928")</f>
        <v>0.011928</v>
      </c>
      <c r="Q19" s="8" t="str">
        <f t="shared" si="35"/>
        <v>-0.05</v>
      </c>
      <c r="R19" s="8" t="str">
        <f>HYPERLINK("#Assumption!B98","0.025")</f>
        <v>0.025</v>
      </c>
      <c r="S19" s="8" t="str">
        <f>HYPERLINK("#Assumption!B109","-0.025")</f>
        <v>-0.025</v>
      </c>
    </row>
    <row r="20" spans="1:19" x14ac:dyDescent="0.3">
      <c r="A20">
        <v>2042</v>
      </c>
      <c r="B20" s="2">
        <f t="shared" ref="B20:B28" si="39">ROUND($B$18*(1+M20*(A20-$A$18)), 2)</f>
        <v>53.16</v>
      </c>
      <c r="C20" s="2">
        <f t="shared" ref="C20:C28" si="40">ROUND($C$18*(1+N20*(A20-$A$18)), 2)</f>
        <v>82.22</v>
      </c>
      <c r="D20">
        <f t="shared" ref="D20:D28" si="41">ROUND($D$18*(1+O20*(A20-$A$18)), 2)</f>
        <v>41.63</v>
      </c>
      <c r="E20">
        <f t="shared" ref="E20:E28" si="42">ROUND($E$18*(1+P20*(A20-$A$18)), 2)</f>
        <v>26.83</v>
      </c>
      <c r="F20">
        <f t="shared" ref="F20:F23" si="43">ROUND($F$13*(1+Q20*(A20-$A$13)), 2)</f>
        <v>21.94</v>
      </c>
      <c r="G20">
        <f t="shared" ref="G20:G28" si="44">ROUND($G$18*(1+R20*(A20-$A$18)), 2)</f>
        <v>31.9</v>
      </c>
      <c r="H20">
        <f t="shared" ref="H20:H23" si="45">ROUND($H$18*(1+S20*(A20-$A$18)), 2)</f>
        <v>48.1</v>
      </c>
      <c r="L20" s="2">
        <v>2042</v>
      </c>
      <c r="M20" s="8" t="str">
        <f t="shared" ref="M20:M28" si="46">HYPERLINK("#Assumption!B16","0.025")</f>
        <v>0.025</v>
      </c>
      <c r="N20" s="8" t="str">
        <f t="shared" ref="N20:N28" si="47">HYPERLINK("#Assumption!B35","0.031048")</f>
        <v>0.031048</v>
      </c>
      <c r="O20" s="8" t="str">
        <f t="shared" ref="O20:O28" si="48">HYPERLINK("#Assumption!B49","0.023122")</f>
        <v>0.023122</v>
      </c>
      <c r="P20" s="8" t="str">
        <f t="shared" ref="P20:P28" si="49">HYPERLINK("#Assumption!B73","0.011928")</f>
        <v>0.011928</v>
      </c>
      <c r="Q20" s="8" t="str">
        <f t="shared" si="35"/>
        <v>-0.05</v>
      </c>
      <c r="R20" s="8" t="str">
        <f t="shared" ref="R20:R28" si="50">HYPERLINK("#Assumption!B98","0.025")</f>
        <v>0.025</v>
      </c>
      <c r="S20" s="8" t="str">
        <f t="shared" ref="S20:S23" si="51">HYPERLINK("#Assumption!B109","-0.025")</f>
        <v>-0.025</v>
      </c>
    </row>
    <row r="21" spans="1:19" x14ac:dyDescent="0.3">
      <c r="A21">
        <v>2043</v>
      </c>
      <c r="B21" s="2">
        <f t="shared" si="39"/>
        <v>54.43</v>
      </c>
      <c r="C21" s="2">
        <f t="shared" si="40"/>
        <v>84.62</v>
      </c>
      <c r="D21">
        <f t="shared" si="41"/>
        <v>42.55</v>
      </c>
      <c r="E21">
        <f t="shared" si="42"/>
        <v>27.14</v>
      </c>
      <c r="F21">
        <f t="shared" si="43"/>
        <v>20.25</v>
      </c>
      <c r="G21">
        <f t="shared" si="44"/>
        <v>32.659999999999997</v>
      </c>
      <c r="H21">
        <f t="shared" si="45"/>
        <v>46.83</v>
      </c>
      <c r="L21" s="2">
        <v>2043</v>
      </c>
      <c r="M21" s="8" t="str">
        <f t="shared" si="46"/>
        <v>0.025</v>
      </c>
      <c r="N21" s="8" t="str">
        <f t="shared" si="47"/>
        <v>0.031048</v>
      </c>
      <c r="O21" s="8" t="str">
        <f t="shared" si="48"/>
        <v>0.023122</v>
      </c>
      <c r="P21" s="8" t="str">
        <f t="shared" si="49"/>
        <v>0.011928</v>
      </c>
      <c r="Q21" s="8" t="str">
        <f t="shared" si="35"/>
        <v>-0.05</v>
      </c>
      <c r="R21" s="8" t="str">
        <f t="shared" si="50"/>
        <v>0.025</v>
      </c>
      <c r="S21" s="8" t="str">
        <f t="shared" si="51"/>
        <v>-0.025</v>
      </c>
    </row>
    <row r="22" spans="1:19" x14ac:dyDescent="0.3">
      <c r="A22">
        <v>2044</v>
      </c>
      <c r="B22" s="2">
        <f t="shared" si="39"/>
        <v>55.69</v>
      </c>
      <c r="C22" s="2">
        <f t="shared" si="40"/>
        <v>87.02</v>
      </c>
      <c r="D22">
        <f t="shared" si="41"/>
        <v>43.47</v>
      </c>
      <c r="E22">
        <f t="shared" si="42"/>
        <v>27.45</v>
      </c>
      <c r="F22">
        <f t="shared" si="43"/>
        <v>18.559999999999999</v>
      </c>
      <c r="G22">
        <f t="shared" si="44"/>
        <v>33.42</v>
      </c>
      <c r="H22">
        <f t="shared" si="45"/>
        <v>45.57</v>
      </c>
      <c r="L22" s="2">
        <v>2044</v>
      </c>
      <c r="M22" s="8" t="str">
        <f t="shared" si="46"/>
        <v>0.025</v>
      </c>
      <c r="N22" s="8" t="str">
        <f t="shared" si="47"/>
        <v>0.031048</v>
      </c>
      <c r="O22" s="8" t="str">
        <f t="shared" si="48"/>
        <v>0.023122</v>
      </c>
      <c r="P22" s="8" t="str">
        <f t="shared" si="49"/>
        <v>0.011928</v>
      </c>
      <c r="Q22" s="8" t="str">
        <f t="shared" si="35"/>
        <v>-0.05</v>
      </c>
      <c r="R22" s="8" t="str">
        <f t="shared" si="50"/>
        <v>0.025</v>
      </c>
      <c r="S22" s="8" t="str">
        <f t="shared" si="51"/>
        <v>-0.025</v>
      </c>
    </row>
    <row r="23" spans="1:19" x14ac:dyDescent="0.3">
      <c r="A23">
        <v>2045</v>
      </c>
      <c r="B23" s="2">
        <f t="shared" si="39"/>
        <v>56.96</v>
      </c>
      <c r="C23" s="2">
        <f t="shared" si="40"/>
        <v>89.43</v>
      </c>
      <c r="D23">
        <f t="shared" si="41"/>
        <v>44.39</v>
      </c>
      <c r="E23">
        <f t="shared" si="42"/>
        <v>27.76</v>
      </c>
      <c r="F23">
        <f t="shared" si="43"/>
        <v>16.88</v>
      </c>
      <c r="G23">
        <f t="shared" si="44"/>
        <v>34.18</v>
      </c>
      <c r="H23">
        <f t="shared" si="45"/>
        <v>44.3</v>
      </c>
      <c r="L23" s="2">
        <v>2045</v>
      </c>
      <c r="M23" s="8" t="str">
        <f t="shared" si="46"/>
        <v>0.025</v>
      </c>
      <c r="N23" s="8" t="str">
        <f t="shared" si="47"/>
        <v>0.031048</v>
      </c>
      <c r="O23" s="8" t="str">
        <f t="shared" si="48"/>
        <v>0.023122</v>
      </c>
      <c r="P23" s="8" t="str">
        <f t="shared" si="49"/>
        <v>0.011928</v>
      </c>
      <c r="Q23" s="8" t="str">
        <f t="shared" si="35"/>
        <v>-0.05</v>
      </c>
      <c r="R23" s="8" t="str">
        <f t="shared" si="50"/>
        <v>0.025</v>
      </c>
      <c r="S23" s="8" t="str">
        <f t="shared" si="51"/>
        <v>-0.025</v>
      </c>
    </row>
    <row r="24" spans="1:19" x14ac:dyDescent="0.3">
      <c r="A24">
        <v>2046</v>
      </c>
      <c r="B24" s="2">
        <f t="shared" si="39"/>
        <v>58.22</v>
      </c>
      <c r="C24" s="2">
        <f t="shared" si="40"/>
        <v>91.83</v>
      </c>
      <c r="D24">
        <f t="shared" si="41"/>
        <v>45.31</v>
      </c>
      <c r="E24">
        <f t="shared" si="42"/>
        <v>28.08</v>
      </c>
      <c r="F24">
        <f>ROUND($F$23*(1+Q24*(A24-$A$23)), 2)</f>
        <v>17.3</v>
      </c>
      <c r="G24">
        <f t="shared" si="44"/>
        <v>34.94</v>
      </c>
      <c r="H24">
        <f>ROUND($H$23*(1+S24*(A24-$A$23)), 2)</f>
        <v>44.85</v>
      </c>
      <c r="L24" s="2">
        <v>2046</v>
      </c>
      <c r="M24" s="8" t="str">
        <f t="shared" si="46"/>
        <v>0.025</v>
      </c>
      <c r="N24" s="8" t="str">
        <f t="shared" si="47"/>
        <v>0.031048</v>
      </c>
      <c r="O24" s="8" t="str">
        <f t="shared" si="48"/>
        <v>0.023122</v>
      </c>
      <c r="P24" s="8" t="str">
        <f t="shared" si="49"/>
        <v>0.011928</v>
      </c>
      <c r="Q24" s="8" t="str">
        <f>HYPERLINK("#Assumption!B86","0.025")</f>
        <v>0.025</v>
      </c>
      <c r="R24" s="8" t="str">
        <f t="shared" si="50"/>
        <v>0.025</v>
      </c>
      <c r="S24" s="8" t="str">
        <f>HYPERLINK("#Assumption!B112","0.0125")</f>
        <v>0.0125</v>
      </c>
    </row>
    <row r="25" spans="1:19" x14ac:dyDescent="0.3">
      <c r="A25">
        <v>2047</v>
      </c>
      <c r="B25" s="2">
        <f t="shared" si="39"/>
        <v>59.49</v>
      </c>
      <c r="C25" s="2">
        <f t="shared" si="40"/>
        <v>94.23</v>
      </c>
      <c r="D25">
        <f t="shared" si="41"/>
        <v>46.23</v>
      </c>
      <c r="E25">
        <f t="shared" si="42"/>
        <v>28.39</v>
      </c>
      <c r="F25">
        <f t="shared" ref="F25:F28" si="52">ROUND($F$23*(1+Q25*(A25-$A$23)), 2)</f>
        <v>17.72</v>
      </c>
      <c r="G25">
        <f t="shared" si="44"/>
        <v>35.700000000000003</v>
      </c>
      <c r="H25">
        <f t="shared" ref="H25:H28" si="53">ROUND($H$23*(1+S25*(A25-$A$23)), 2)</f>
        <v>45.41</v>
      </c>
      <c r="L25" s="2">
        <v>2047</v>
      </c>
      <c r="M25" s="8" t="str">
        <f t="shared" si="46"/>
        <v>0.025</v>
      </c>
      <c r="N25" s="8" t="str">
        <f t="shared" si="47"/>
        <v>0.031048</v>
      </c>
      <c r="O25" s="8" t="str">
        <f t="shared" si="48"/>
        <v>0.023122</v>
      </c>
      <c r="P25" s="8" t="str">
        <f t="shared" si="49"/>
        <v>0.011928</v>
      </c>
      <c r="Q25" s="8" t="str">
        <f t="shared" ref="Q25:Q28" si="54">HYPERLINK("#Assumption!B86","0.025")</f>
        <v>0.025</v>
      </c>
      <c r="R25" s="8" t="str">
        <f t="shared" si="50"/>
        <v>0.025</v>
      </c>
      <c r="S25" s="8" t="str">
        <f t="shared" ref="S25:S28" si="55">HYPERLINK("#Assumption!B112","0.0125")</f>
        <v>0.0125</v>
      </c>
    </row>
    <row r="26" spans="1:19" x14ac:dyDescent="0.3">
      <c r="A26">
        <v>2048</v>
      </c>
      <c r="B26" s="2">
        <f t="shared" si="39"/>
        <v>60.76</v>
      </c>
      <c r="C26" s="2">
        <f t="shared" si="40"/>
        <v>96.64</v>
      </c>
      <c r="D26">
        <f t="shared" si="41"/>
        <v>47.15</v>
      </c>
      <c r="E26">
        <f t="shared" si="42"/>
        <v>28.7</v>
      </c>
      <c r="F26">
        <f t="shared" si="52"/>
        <v>18.149999999999999</v>
      </c>
      <c r="G26">
        <f t="shared" si="44"/>
        <v>36.46</v>
      </c>
      <c r="H26">
        <f t="shared" si="53"/>
        <v>45.96</v>
      </c>
      <c r="L26" s="2">
        <v>2048</v>
      </c>
      <c r="M26" s="8" t="str">
        <f t="shared" si="46"/>
        <v>0.025</v>
      </c>
      <c r="N26" s="8" t="str">
        <f t="shared" si="47"/>
        <v>0.031048</v>
      </c>
      <c r="O26" s="8" t="str">
        <f t="shared" si="48"/>
        <v>0.023122</v>
      </c>
      <c r="P26" s="8" t="str">
        <f t="shared" si="49"/>
        <v>0.011928</v>
      </c>
      <c r="Q26" s="8" t="str">
        <f t="shared" si="54"/>
        <v>0.025</v>
      </c>
      <c r="R26" s="8" t="str">
        <f t="shared" si="50"/>
        <v>0.025</v>
      </c>
      <c r="S26" s="8" t="str">
        <f t="shared" si="55"/>
        <v>0.0125</v>
      </c>
    </row>
    <row r="27" spans="1:19" x14ac:dyDescent="0.3">
      <c r="A27">
        <v>2049</v>
      </c>
      <c r="B27" s="2">
        <f t="shared" si="39"/>
        <v>62.02</v>
      </c>
      <c r="C27" s="2">
        <f t="shared" si="40"/>
        <v>99.04</v>
      </c>
      <c r="D27">
        <f t="shared" si="41"/>
        <v>48.07</v>
      </c>
      <c r="E27">
        <f t="shared" si="42"/>
        <v>29.01</v>
      </c>
      <c r="F27">
        <f t="shared" si="52"/>
        <v>18.57</v>
      </c>
      <c r="G27">
        <f t="shared" si="44"/>
        <v>37.22</v>
      </c>
      <c r="H27">
        <f t="shared" si="53"/>
        <v>46.52</v>
      </c>
      <c r="L27" s="2">
        <v>2049</v>
      </c>
      <c r="M27" s="8" t="str">
        <f t="shared" si="46"/>
        <v>0.025</v>
      </c>
      <c r="N27" s="8" t="str">
        <f t="shared" si="47"/>
        <v>0.031048</v>
      </c>
      <c r="O27" s="8" t="str">
        <f t="shared" si="48"/>
        <v>0.023122</v>
      </c>
      <c r="P27" s="8" t="str">
        <f t="shared" si="49"/>
        <v>0.011928</v>
      </c>
      <c r="Q27" s="8" t="str">
        <f t="shared" si="54"/>
        <v>0.025</v>
      </c>
      <c r="R27" s="8" t="str">
        <f t="shared" si="50"/>
        <v>0.025</v>
      </c>
      <c r="S27" s="8" t="str">
        <f t="shared" si="55"/>
        <v>0.0125</v>
      </c>
    </row>
    <row r="28" spans="1:19" x14ac:dyDescent="0.3">
      <c r="A28">
        <v>2050</v>
      </c>
      <c r="B28" s="2">
        <f t="shared" si="39"/>
        <v>63.29</v>
      </c>
      <c r="C28" s="2">
        <f t="shared" si="40"/>
        <v>101.44</v>
      </c>
      <c r="D28">
        <f t="shared" si="41"/>
        <v>48.99</v>
      </c>
      <c r="E28">
        <f t="shared" si="42"/>
        <v>29.33</v>
      </c>
      <c r="F28">
        <f t="shared" si="52"/>
        <v>18.989999999999998</v>
      </c>
      <c r="G28">
        <f t="shared" si="44"/>
        <v>37.979999999999997</v>
      </c>
      <c r="H28">
        <f t="shared" si="53"/>
        <v>47.07</v>
      </c>
      <c r="L28" s="2">
        <v>2050</v>
      </c>
      <c r="M28" s="8" t="str">
        <f t="shared" si="46"/>
        <v>0.025</v>
      </c>
      <c r="N28" s="8" t="str">
        <f t="shared" si="47"/>
        <v>0.031048</v>
      </c>
      <c r="O28" s="8" t="str">
        <f t="shared" si="48"/>
        <v>0.023122</v>
      </c>
      <c r="P28" s="8" t="str">
        <f t="shared" si="49"/>
        <v>0.011928</v>
      </c>
      <c r="Q28" s="8" t="str">
        <f t="shared" si="54"/>
        <v>0.025</v>
      </c>
      <c r="R28" s="8" t="str">
        <f t="shared" si="50"/>
        <v>0.025</v>
      </c>
      <c r="S28" s="8" t="str">
        <f t="shared" si="55"/>
        <v>0.0125</v>
      </c>
    </row>
  </sheetData>
  <mergeCells count="1">
    <mergeCell ref="M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9261-474E-4AB1-8D7B-688F51BAAAEB}">
  <sheetPr>
    <tabColor rgb="FFFFC000"/>
  </sheetPr>
  <dimension ref="A1:S28"/>
  <sheetViews>
    <sheetView zoomScale="90" zoomScaleNormal="90" workbookViewId="0">
      <selection activeCell="G1" sqref="G1"/>
    </sheetView>
  </sheetViews>
  <sheetFormatPr defaultRowHeight="14.4" x14ac:dyDescent="0.3"/>
  <cols>
    <col min="2" max="2" width="10" bestFit="1" customWidth="1"/>
    <col min="3" max="3" width="12.109375" bestFit="1" customWidth="1"/>
    <col min="4" max="4" width="18.44140625" bestFit="1" customWidth="1"/>
    <col min="5" max="5" width="15.109375" bestFit="1" customWidth="1"/>
    <col min="6" max="6" width="23.44140625" bestFit="1" customWidth="1"/>
    <col min="7" max="7" width="19.44140625" bestFit="1" customWidth="1"/>
    <col min="8" max="8" width="18.77734375" bestFit="1" customWidth="1"/>
    <col min="13" max="13" width="9.109375" customWidth="1"/>
    <col min="15" max="15" width="13.21875" bestFit="1" customWidth="1"/>
    <col min="16" max="16" width="9.88671875" bestFit="1" customWidth="1"/>
    <col min="17" max="17" width="19.109375" bestFit="1" customWidth="1"/>
    <col min="19" max="19" width="14" bestFit="1" customWidth="1"/>
  </cols>
  <sheetData>
    <row r="1" spans="1:19" x14ac:dyDescent="0.3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M1" s="24" t="s">
        <v>36</v>
      </c>
      <c r="N1" s="24"/>
      <c r="O1" s="24"/>
      <c r="P1" s="24"/>
      <c r="Q1" s="24"/>
      <c r="R1" s="24"/>
      <c r="S1" s="24"/>
    </row>
    <row r="2" spans="1:19" x14ac:dyDescent="0.3">
      <c r="A2">
        <v>2024</v>
      </c>
      <c r="B2">
        <v>16</v>
      </c>
      <c r="C2">
        <v>16</v>
      </c>
      <c r="D2">
        <v>16</v>
      </c>
      <c r="E2">
        <v>16</v>
      </c>
      <c r="F2">
        <v>16</v>
      </c>
      <c r="G2">
        <v>16</v>
      </c>
      <c r="H2">
        <v>16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44</v>
      </c>
    </row>
    <row r="3" spans="1:19" x14ac:dyDescent="0.3">
      <c r="A3">
        <v>2025</v>
      </c>
      <c r="B3">
        <f t="shared" ref="B3:B8" si="0">ROUND($B$2*(1+M3*(A3-$A$2)), 2)</f>
        <v>18.399999999999999</v>
      </c>
      <c r="C3">
        <f t="shared" ref="C3:C8" si="1">ROUND($C$2*(1+N3*(A3-$A$2)), 2)</f>
        <v>20.170000000000002</v>
      </c>
      <c r="D3">
        <f t="shared" ref="D3:D8" si="2">ROUND($D$2*(1+O3*(A3-$A$2)), 2)</f>
        <v>17.48</v>
      </c>
      <c r="E3">
        <f t="shared" ref="E3:E8" si="3">ROUND($E$2*(1+P3*(A3-$A$2)), 2)</f>
        <v>16.88</v>
      </c>
      <c r="F3">
        <f>ROUND($F$2*(1+Q3*(A3-$A$2)), 2)</f>
        <v>18.399999999999999</v>
      </c>
      <c r="G3">
        <f>ROUND($G$2*(1+R3*(A3-$A$2)), 2)</f>
        <v>18.399999999999999</v>
      </c>
      <c r="H3">
        <f>ROUND($H$2*(1+S3*(A3-$A$2)), 2)</f>
        <v>18.399999999999999</v>
      </c>
      <c r="L3">
        <v>2025</v>
      </c>
      <c r="M3" s="8" t="str">
        <f>HYPERLINK("#Assumption!J7","0.15")</f>
        <v>0.15</v>
      </c>
      <c r="N3" s="8" t="str">
        <f>HYPERLINK("#Assumption!J21","0.26083")</f>
        <v>0.26083</v>
      </c>
      <c r="O3" s="8" t="str">
        <f>HYPERLINK("#Assumption!J40","0.092525")</f>
        <v>0.092525</v>
      </c>
      <c r="P3" s="8" t="str">
        <f>HYPERLINK("#Assumption!J59","0.055")</f>
        <v>0.055</v>
      </c>
      <c r="Q3" s="8" t="str">
        <f>HYPERLINK("#Assumption!J78","0.15")</f>
        <v>0.15</v>
      </c>
      <c r="R3" s="8" t="str">
        <f>HYPERLINK("#Assumption!J91","0.15")</f>
        <v>0.15</v>
      </c>
      <c r="S3" s="8" t="str">
        <f>HYPERLINK("#Assumption!J103","0.15")</f>
        <v>0.15</v>
      </c>
    </row>
    <row r="4" spans="1:19" x14ac:dyDescent="0.3">
      <c r="A4">
        <v>2026</v>
      </c>
      <c r="B4">
        <f t="shared" si="0"/>
        <v>20.8</v>
      </c>
      <c r="C4">
        <f t="shared" si="1"/>
        <v>24.35</v>
      </c>
      <c r="D4">
        <f t="shared" si="2"/>
        <v>18.96</v>
      </c>
      <c r="E4">
        <f t="shared" si="3"/>
        <v>17.760000000000002</v>
      </c>
      <c r="F4">
        <f t="shared" ref="F4:F8" si="4">ROUND($F$2*(1+Q4*(A4-$A$2)), 2)</f>
        <v>20.8</v>
      </c>
      <c r="G4">
        <f t="shared" ref="G4:G8" si="5">ROUND($G$2*(1+R4*(A4-$A$2)), 2)</f>
        <v>20.8</v>
      </c>
      <c r="H4">
        <f t="shared" ref="H4:H8" si="6">ROUND($H$2*(1+S4*(A4-$A$2)), 2)</f>
        <v>20.8</v>
      </c>
      <c r="L4">
        <v>2026</v>
      </c>
      <c r="M4" s="8" t="str">
        <f t="shared" ref="M4:M8" si="7">HYPERLINK("#Assumption!J7","0.15")</f>
        <v>0.15</v>
      </c>
      <c r="N4" s="8" t="str">
        <f t="shared" ref="N4:N8" si="8">HYPERLINK("#Assumption!J21","0.26083")</f>
        <v>0.26083</v>
      </c>
      <c r="O4" s="8" t="str">
        <f t="shared" ref="O4:O8" si="9">HYPERLINK("#Assumption!J40","0.092525")</f>
        <v>0.092525</v>
      </c>
      <c r="P4" s="8" t="str">
        <f t="shared" ref="P4:P8" si="10">HYPERLINK("#Assumption!J59","0.055")</f>
        <v>0.055</v>
      </c>
      <c r="Q4" s="8" t="str">
        <f t="shared" ref="Q4:Q8" si="11">HYPERLINK("#Assumption!J78","0.15")</f>
        <v>0.15</v>
      </c>
      <c r="R4" s="8" t="str">
        <f t="shared" ref="R4:R8" si="12">HYPERLINK("#Assumption!J91","0.15")</f>
        <v>0.15</v>
      </c>
      <c r="S4" s="8" t="str">
        <f t="shared" ref="S4:S8" si="13">HYPERLINK("#Assumption!J103","0.15")</f>
        <v>0.15</v>
      </c>
    </row>
    <row r="5" spans="1:19" x14ac:dyDescent="0.3">
      <c r="A5">
        <v>2027</v>
      </c>
      <c r="B5">
        <f t="shared" si="0"/>
        <v>23.2</v>
      </c>
      <c r="C5">
        <f t="shared" si="1"/>
        <v>28.52</v>
      </c>
      <c r="D5">
        <f t="shared" si="2"/>
        <v>20.440000000000001</v>
      </c>
      <c r="E5">
        <f t="shared" si="3"/>
        <v>18.64</v>
      </c>
      <c r="F5">
        <f t="shared" si="4"/>
        <v>23.2</v>
      </c>
      <c r="G5">
        <f t="shared" si="5"/>
        <v>23.2</v>
      </c>
      <c r="H5">
        <f t="shared" si="6"/>
        <v>23.2</v>
      </c>
      <c r="L5">
        <v>2027</v>
      </c>
      <c r="M5" s="8" t="str">
        <f t="shared" si="7"/>
        <v>0.15</v>
      </c>
      <c r="N5" s="8" t="str">
        <f t="shared" si="8"/>
        <v>0.26083</v>
      </c>
      <c r="O5" s="8" t="str">
        <f t="shared" si="9"/>
        <v>0.092525</v>
      </c>
      <c r="P5" s="8" t="str">
        <f t="shared" si="10"/>
        <v>0.055</v>
      </c>
      <c r="Q5" s="8" t="str">
        <f t="shared" si="11"/>
        <v>0.15</v>
      </c>
      <c r="R5" s="8" t="str">
        <f t="shared" si="12"/>
        <v>0.15</v>
      </c>
      <c r="S5" s="8" t="str">
        <f t="shared" si="13"/>
        <v>0.15</v>
      </c>
    </row>
    <row r="6" spans="1:19" x14ac:dyDescent="0.3">
      <c r="A6">
        <v>2028</v>
      </c>
      <c r="B6">
        <f t="shared" si="0"/>
        <v>25.6</v>
      </c>
      <c r="C6">
        <f t="shared" si="1"/>
        <v>32.69</v>
      </c>
      <c r="D6">
        <f t="shared" si="2"/>
        <v>21.92</v>
      </c>
      <c r="E6">
        <f t="shared" si="3"/>
        <v>19.52</v>
      </c>
      <c r="F6">
        <f t="shared" si="4"/>
        <v>25.6</v>
      </c>
      <c r="G6">
        <f t="shared" si="5"/>
        <v>25.6</v>
      </c>
      <c r="H6">
        <f t="shared" si="6"/>
        <v>25.6</v>
      </c>
      <c r="L6">
        <v>2028</v>
      </c>
      <c r="M6" s="8" t="str">
        <f t="shared" si="7"/>
        <v>0.15</v>
      </c>
      <c r="N6" s="8" t="str">
        <f t="shared" si="8"/>
        <v>0.26083</v>
      </c>
      <c r="O6" s="8" t="str">
        <f t="shared" si="9"/>
        <v>0.092525</v>
      </c>
      <c r="P6" s="8" t="str">
        <f t="shared" si="10"/>
        <v>0.055</v>
      </c>
      <c r="Q6" s="8" t="str">
        <f t="shared" si="11"/>
        <v>0.15</v>
      </c>
      <c r="R6" s="8" t="str">
        <f t="shared" si="12"/>
        <v>0.15</v>
      </c>
      <c r="S6" s="8" t="str">
        <f t="shared" si="13"/>
        <v>0.15</v>
      </c>
    </row>
    <row r="7" spans="1:19" x14ac:dyDescent="0.3">
      <c r="A7">
        <v>2029</v>
      </c>
      <c r="B7">
        <f t="shared" si="0"/>
        <v>28</v>
      </c>
      <c r="C7">
        <f t="shared" si="1"/>
        <v>36.869999999999997</v>
      </c>
      <c r="D7">
        <f t="shared" si="2"/>
        <v>23.4</v>
      </c>
      <c r="E7">
        <f t="shared" si="3"/>
        <v>20.399999999999999</v>
      </c>
      <c r="F7">
        <f t="shared" si="4"/>
        <v>28</v>
      </c>
      <c r="G7">
        <f t="shared" si="5"/>
        <v>28</v>
      </c>
      <c r="H7">
        <f t="shared" si="6"/>
        <v>28</v>
      </c>
      <c r="L7">
        <v>2029</v>
      </c>
      <c r="M7" s="8" t="str">
        <f t="shared" si="7"/>
        <v>0.15</v>
      </c>
      <c r="N7" s="8" t="str">
        <f t="shared" si="8"/>
        <v>0.26083</v>
      </c>
      <c r="O7" s="8" t="str">
        <f t="shared" si="9"/>
        <v>0.092525</v>
      </c>
      <c r="P7" s="8" t="str">
        <f t="shared" si="10"/>
        <v>0.055</v>
      </c>
      <c r="Q7" s="8" t="str">
        <f t="shared" si="11"/>
        <v>0.15</v>
      </c>
      <c r="R7" s="8" t="str">
        <f t="shared" si="12"/>
        <v>0.15</v>
      </c>
      <c r="S7" s="8" t="str">
        <f t="shared" si="13"/>
        <v>0.15</v>
      </c>
    </row>
    <row r="8" spans="1:19" x14ac:dyDescent="0.3">
      <c r="A8">
        <v>2030</v>
      </c>
      <c r="B8">
        <f t="shared" si="0"/>
        <v>30.4</v>
      </c>
      <c r="C8">
        <f t="shared" si="1"/>
        <v>41.04</v>
      </c>
      <c r="D8">
        <f t="shared" si="2"/>
        <v>24.88</v>
      </c>
      <c r="E8">
        <f t="shared" si="3"/>
        <v>21.28</v>
      </c>
      <c r="F8">
        <f t="shared" si="4"/>
        <v>30.4</v>
      </c>
      <c r="G8">
        <f t="shared" si="5"/>
        <v>30.4</v>
      </c>
      <c r="H8">
        <f t="shared" si="6"/>
        <v>30.4</v>
      </c>
      <c r="L8">
        <v>2030</v>
      </c>
      <c r="M8" s="8" t="str">
        <f t="shared" si="7"/>
        <v>0.15</v>
      </c>
      <c r="N8" s="8" t="str">
        <f t="shared" si="8"/>
        <v>0.26083</v>
      </c>
      <c r="O8" s="8" t="str">
        <f t="shared" si="9"/>
        <v>0.092525</v>
      </c>
      <c r="P8" s="8" t="str">
        <f t="shared" si="10"/>
        <v>0.055</v>
      </c>
      <c r="Q8" s="8" t="str">
        <f t="shared" si="11"/>
        <v>0.15</v>
      </c>
      <c r="R8" s="8" t="str">
        <f t="shared" si="12"/>
        <v>0.15</v>
      </c>
      <c r="S8" s="8" t="str">
        <f t="shared" si="13"/>
        <v>0.15</v>
      </c>
    </row>
    <row r="9" spans="1:19" x14ac:dyDescent="0.3">
      <c r="A9">
        <v>2031</v>
      </c>
      <c r="B9">
        <f>ROUND($B$8*(1+M9*(A9-$A$8)), 2)</f>
        <v>33.44</v>
      </c>
      <c r="C9">
        <f>ROUND($C$8*(1+N9*(A9-$A$8)), 2)</f>
        <v>46.13</v>
      </c>
      <c r="D9">
        <f>ROUND($D$8*(1+O9*(A9-$A$8)), 2)</f>
        <v>27.18</v>
      </c>
      <c r="E9">
        <f>ROUND($E$8*(1+P9*(A9-$A$8)), 2)</f>
        <v>22.3</v>
      </c>
      <c r="F9">
        <f>ROUND($F$8*(1+Q9*(A9-$A$8)), 2)</f>
        <v>31.92</v>
      </c>
      <c r="G9">
        <f>ROUND($G$8*(1+R9*(A9-$A$8)), 2)</f>
        <v>33.44</v>
      </c>
      <c r="H9">
        <f>ROUND($H$8*(1+S9*(A9-$A$8)), 2)</f>
        <v>33.44</v>
      </c>
      <c r="L9">
        <v>2031</v>
      </c>
      <c r="M9" s="8" t="str">
        <f>HYPERLINK("#Assumption!J11","0.1")</f>
        <v>0.1</v>
      </c>
      <c r="N9" s="8" t="str">
        <f>HYPERLINK("#Assumption!J27","0.124")</f>
        <v>0.124</v>
      </c>
      <c r="O9" s="8" t="str">
        <f>HYPERLINK("#Assumption!J46","0.092524")</f>
        <v>0.092524</v>
      </c>
      <c r="P9" s="8" t="str">
        <f>HYPERLINK("#Assumption!J65","0.047714")</f>
        <v>0.047714</v>
      </c>
      <c r="Q9" s="8" t="str">
        <f>HYPERLINK("#Assumption!J81","0.05")</f>
        <v>0.05</v>
      </c>
      <c r="R9" s="8" t="str">
        <f>HYPERLINK("#Assumption!J94","0.1")</f>
        <v>0.1</v>
      </c>
      <c r="S9" s="8" t="str">
        <f>HYPERLINK("#Assumption!J106","0.1")</f>
        <v>0.1</v>
      </c>
    </row>
    <row r="10" spans="1:19" x14ac:dyDescent="0.3">
      <c r="A10">
        <v>2032</v>
      </c>
      <c r="B10">
        <f>ROUND($B$8*(1+M10*(A10-$A$8)), 2)</f>
        <v>36.479999999999997</v>
      </c>
      <c r="C10">
        <f>ROUND($C$8*(1+N10*(A10-$A$8)), 2)</f>
        <v>51.22</v>
      </c>
      <c r="D10">
        <f>ROUND($D$8*(1+O10*(A10-$A$8)), 2)</f>
        <v>29.48</v>
      </c>
      <c r="E10">
        <f>ROUND($E$8*(1+P10*(A10-$A$8)), 2)</f>
        <v>23.31</v>
      </c>
      <c r="F10">
        <f t="shared" ref="F10:F13" si="14">ROUND($F$8*(1+Q10*(A10-$A$8)), 2)</f>
        <v>33.44</v>
      </c>
      <c r="G10">
        <f t="shared" ref="G10:G13" si="15">ROUND($G$8*(1+R10*(A10-$A$8)), 2)</f>
        <v>36.479999999999997</v>
      </c>
      <c r="H10">
        <f t="shared" ref="H10:H13" si="16">ROUND($H$8*(1+S10*(A10-$A$8)), 2)</f>
        <v>36.479999999999997</v>
      </c>
      <c r="L10">
        <v>2032</v>
      </c>
      <c r="M10" s="8" t="str">
        <f t="shared" ref="M10:M13" si="17">HYPERLINK("#Assumption!J11","0.1")</f>
        <v>0.1</v>
      </c>
      <c r="N10" s="8" t="str">
        <f t="shared" ref="N10:N13" si="18">HYPERLINK("#Assumption!J27","0.124")</f>
        <v>0.124</v>
      </c>
      <c r="O10" s="8" t="str">
        <f t="shared" ref="O10:O13" si="19">HYPERLINK("#Assumption!J46","0.092524")</f>
        <v>0.092524</v>
      </c>
      <c r="P10" s="8" t="str">
        <f t="shared" ref="P10:P13" si="20">HYPERLINK("#Assumption!J65","0.047714")</f>
        <v>0.047714</v>
      </c>
      <c r="Q10" s="8" t="str">
        <f t="shared" ref="Q10:Q13" si="21">HYPERLINK("#Assumption!J81","0.05")</f>
        <v>0.05</v>
      </c>
      <c r="R10" s="8" t="str">
        <f t="shared" ref="R10:R13" si="22">HYPERLINK("#Assumption!J94","0.1")</f>
        <v>0.1</v>
      </c>
      <c r="S10" s="8" t="str">
        <f t="shared" ref="S10:S13" si="23">HYPERLINK("#Assumption!J106","0.1")</f>
        <v>0.1</v>
      </c>
    </row>
    <row r="11" spans="1:19" x14ac:dyDescent="0.3">
      <c r="A11">
        <v>2033</v>
      </c>
      <c r="B11">
        <f>ROUND($B$8*(1+M11*(A11-$A$8)), 2)</f>
        <v>39.520000000000003</v>
      </c>
      <c r="C11">
        <f>ROUND($C$8*(1+N11*(A11-$A$8)), 2)</f>
        <v>56.31</v>
      </c>
      <c r="D11">
        <f>ROUND($D$8*(1+O11*(A11-$A$8)), 2)</f>
        <v>31.79</v>
      </c>
      <c r="E11">
        <f>ROUND($E$8*(1+P11*(A11-$A$8)), 2)</f>
        <v>24.33</v>
      </c>
      <c r="F11">
        <f t="shared" si="14"/>
        <v>34.96</v>
      </c>
      <c r="G11">
        <f t="shared" si="15"/>
        <v>39.520000000000003</v>
      </c>
      <c r="H11">
        <f t="shared" si="16"/>
        <v>39.520000000000003</v>
      </c>
      <c r="L11">
        <v>2033</v>
      </c>
      <c r="M11" s="8" t="str">
        <f t="shared" si="17"/>
        <v>0.1</v>
      </c>
      <c r="N11" s="8" t="str">
        <f t="shared" si="18"/>
        <v>0.124</v>
      </c>
      <c r="O11" s="8" t="str">
        <f t="shared" si="19"/>
        <v>0.092524</v>
      </c>
      <c r="P11" s="8" t="str">
        <f t="shared" si="20"/>
        <v>0.047714</v>
      </c>
      <c r="Q11" s="8" t="str">
        <f t="shared" si="21"/>
        <v>0.05</v>
      </c>
      <c r="R11" s="8" t="str">
        <f t="shared" si="22"/>
        <v>0.1</v>
      </c>
      <c r="S11" s="8" t="str">
        <f t="shared" si="23"/>
        <v>0.1</v>
      </c>
    </row>
    <row r="12" spans="1:19" x14ac:dyDescent="0.3">
      <c r="A12">
        <v>2034</v>
      </c>
      <c r="B12">
        <f>ROUND($B$8*(1+M12*(A12-$A$8)), 2)</f>
        <v>42.56</v>
      </c>
      <c r="C12">
        <f>ROUND($C$8*(1+N12*(A12-$A$8)), 2)</f>
        <v>61.4</v>
      </c>
      <c r="D12">
        <f>ROUND($D$8*(1+O12*(A12-$A$8)), 2)</f>
        <v>34.090000000000003</v>
      </c>
      <c r="E12">
        <f>ROUND($E$8*(1+P12*(A12-$A$8)), 2)</f>
        <v>25.34</v>
      </c>
      <c r="F12">
        <f t="shared" si="14"/>
        <v>36.479999999999997</v>
      </c>
      <c r="G12">
        <f t="shared" si="15"/>
        <v>42.56</v>
      </c>
      <c r="H12">
        <f t="shared" si="16"/>
        <v>42.56</v>
      </c>
      <c r="L12">
        <v>2034</v>
      </c>
      <c r="M12" s="8" t="str">
        <f t="shared" si="17"/>
        <v>0.1</v>
      </c>
      <c r="N12" s="8" t="str">
        <f t="shared" si="18"/>
        <v>0.124</v>
      </c>
      <c r="O12" s="8" t="str">
        <f t="shared" si="19"/>
        <v>0.092524</v>
      </c>
      <c r="P12" s="8" t="str">
        <f t="shared" si="20"/>
        <v>0.047714</v>
      </c>
      <c r="Q12" s="8" t="str">
        <f t="shared" si="21"/>
        <v>0.05</v>
      </c>
      <c r="R12" s="8" t="str">
        <f t="shared" si="22"/>
        <v>0.1</v>
      </c>
      <c r="S12" s="8" t="str">
        <f t="shared" si="23"/>
        <v>0.1</v>
      </c>
    </row>
    <row r="13" spans="1:19" x14ac:dyDescent="0.3">
      <c r="A13">
        <v>2035</v>
      </c>
      <c r="B13">
        <f>ROUND($B$8*(1+M13*(A13-$A$8)), 2)</f>
        <v>45.6</v>
      </c>
      <c r="C13">
        <f>ROUND($C$8*(1+N13*(A13-$A$8)), 2)</f>
        <v>66.48</v>
      </c>
      <c r="D13">
        <f>ROUND($D$8*(1+O13*(A13-$A$8)), 2)</f>
        <v>36.39</v>
      </c>
      <c r="E13">
        <f>ROUND($E$8*(1+P13*(A13-$A$8)), 2)</f>
        <v>26.36</v>
      </c>
      <c r="F13">
        <f t="shared" si="14"/>
        <v>38</v>
      </c>
      <c r="G13">
        <f t="shared" si="15"/>
        <v>45.6</v>
      </c>
      <c r="H13">
        <f t="shared" si="16"/>
        <v>45.6</v>
      </c>
      <c r="J13">
        <f>C13/B13</f>
        <v>1.4578947368421054</v>
      </c>
      <c r="L13">
        <v>2035</v>
      </c>
      <c r="M13" s="8" t="str">
        <f t="shared" si="17"/>
        <v>0.1</v>
      </c>
      <c r="N13" s="8" t="str">
        <f t="shared" si="18"/>
        <v>0.124</v>
      </c>
      <c r="O13" s="8" t="str">
        <f t="shared" si="19"/>
        <v>0.092524</v>
      </c>
      <c r="P13" s="8" t="str">
        <f t="shared" si="20"/>
        <v>0.047714</v>
      </c>
      <c r="Q13" s="8" t="str">
        <f t="shared" si="21"/>
        <v>0.05</v>
      </c>
      <c r="R13" s="8" t="str">
        <f t="shared" si="22"/>
        <v>0.1</v>
      </c>
      <c r="S13" s="8" t="str">
        <f t="shared" si="23"/>
        <v>0.1</v>
      </c>
    </row>
    <row r="14" spans="1:19" x14ac:dyDescent="0.3">
      <c r="A14">
        <v>2036</v>
      </c>
      <c r="B14">
        <f>ROUND($B$13*(1+M14*(A14-$A$13)), 2)</f>
        <v>47.88</v>
      </c>
      <c r="C14">
        <f>ROUND($C$13*(1+N14*(A14-$A$13)), 2)</f>
        <v>70.599999999999994</v>
      </c>
      <c r="D14">
        <f>ROUND($D$13*(1+O14*(A14-$A$13)), 2)</f>
        <v>38.07</v>
      </c>
      <c r="E14">
        <f>ROUND($E$13*(1+P14*(A14-$A$13)), 2)</f>
        <v>26.99</v>
      </c>
      <c r="F14">
        <f>ROUND($F$13*(1+Q14*(A14-$A$13)), 2)</f>
        <v>36.1</v>
      </c>
      <c r="G14">
        <f>ROUND($G$13*(1+R14*(A14-$A$13)), 2)</f>
        <v>43.32</v>
      </c>
      <c r="H14">
        <f>ROUND($H$13*(1+S14*(A14-$A$13)), 2)</f>
        <v>47.88</v>
      </c>
      <c r="L14">
        <v>2036</v>
      </c>
      <c r="M14" s="8" t="str">
        <f>HYPERLINK("#Assumption!J14","0.05")</f>
        <v>0.05</v>
      </c>
      <c r="N14" s="8" t="str">
        <f>HYPERLINK("#Assumption!J33","0.062")</f>
        <v>0.062</v>
      </c>
      <c r="O14" s="8" t="str">
        <f>HYPERLINK("#Assumption!J52","0.046262")</f>
        <v>0.046262</v>
      </c>
      <c r="P14" s="8" t="str">
        <f>HYPERLINK("#Assumption!J71","0.023857")</f>
        <v>0.023857</v>
      </c>
      <c r="Q14" s="8" t="str">
        <f>HYPERLINK("#Assumption!J84","-0.05")</f>
        <v>-0.05</v>
      </c>
      <c r="R14" s="8" t="str">
        <f>HYPERLINK("#Assumption!J96","-0.05")</f>
        <v>-0.05</v>
      </c>
      <c r="S14" s="8" t="str">
        <f>HYPERLINK("#Assumption!J108","0.05")</f>
        <v>0.05</v>
      </c>
    </row>
    <row r="15" spans="1:19" x14ac:dyDescent="0.3">
      <c r="A15">
        <v>2037</v>
      </c>
      <c r="B15">
        <f>ROUND($B$13*(1+M15*(A15-$A$13)), 2)</f>
        <v>50.16</v>
      </c>
      <c r="C15">
        <f>ROUND($C$13*(1+N15*(A15-$A$13)), 2)</f>
        <v>74.72</v>
      </c>
      <c r="D15">
        <f>ROUND($D$13*(1+O15*(A15-$A$13)), 2)</f>
        <v>39.76</v>
      </c>
      <c r="E15">
        <f t="shared" ref="E15:E18" si="24">ROUND($E$13*(1+P15*(A15-$A$13)), 2)</f>
        <v>27.62</v>
      </c>
      <c r="F15">
        <f t="shared" ref="F15:F23" si="25">ROUND($F$13*(1+Q15*(A15-$A$13)), 2)</f>
        <v>34.200000000000003</v>
      </c>
      <c r="G15">
        <f t="shared" ref="G15:G18" si="26">ROUND($G$13*(1+R15*(A15-$A$13)), 2)</f>
        <v>41.04</v>
      </c>
      <c r="H15">
        <f t="shared" ref="H15:H18" si="27">ROUND($H$13*(1+S15*(A15-$A$13)), 2)</f>
        <v>50.16</v>
      </c>
      <c r="L15">
        <v>2037</v>
      </c>
      <c r="M15" s="8" t="str">
        <f t="shared" ref="M15:M18" si="28">HYPERLINK("#Assumption!J14","0.05")</f>
        <v>0.05</v>
      </c>
      <c r="N15" s="8" t="str">
        <f t="shared" ref="N15:N18" si="29">HYPERLINK("#Assumption!J33","0.062")</f>
        <v>0.062</v>
      </c>
      <c r="O15" s="8" t="str">
        <f t="shared" ref="O15:O18" si="30">HYPERLINK("#Assumption!J52","0.046262")</f>
        <v>0.046262</v>
      </c>
      <c r="P15" s="8" t="str">
        <f t="shared" ref="P15:P18" si="31">HYPERLINK("#Assumption!J71","0.023857")</f>
        <v>0.023857</v>
      </c>
      <c r="Q15" s="8" t="str">
        <f t="shared" ref="Q15:Q23" si="32">HYPERLINK("#Assumption!J84","-0.05")</f>
        <v>-0.05</v>
      </c>
      <c r="R15" s="8" t="str">
        <f t="shared" ref="R15:R18" si="33">HYPERLINK("#Assumption!J96","-0.05")</f>
        <v>-0.05</v>
      </c>
      <c r="S15" s="8" t="str">
        <f t="shared" ref="S15:S18" si="34">HYPERLINK("#Assumption!J108","0.05")</f>
        <v>0.05</v>
      </c>
    </row>
    <row r="16" spans="1:19" x14ac:dyDescent="0.3">
      <c r="A16">
        <v>2038</v>
      </c>
      <c r="B16">
        <f>ROUND($B$13*(1+M16*(A16-$A$13)), 2)</f>
        <v>52.44</v>
      </c>
      <c r="C16">
        <f>ROUND($C$13*(1+N16*(A16-$A$13)), 2)</f>
        <v>78.849999999999994</v>
      </c>
      <c r="D16">
        <f>ROUND($D$13*(1+O16*(A16-$A$13)), 2)</f>
        <v>41.44</v>
      </c>
      <c r="E16">
        <f t="shared" si="24"/>
        <v>28.25</v>
      </c>
      <c r="F16">
        <f t="shared" si="25"/>
        <v>32.299999999999997</v>
      </c>
      <c r="G16">
        <f t="shared" si="26"/>
        <v>38.76</v>
      </c>
      <c r="H16">
        <f t="shared" si="27"/>
        <v>52.44</v>
      </c>
      <c r="L16">
        <v>2038</v>
      </c>
      <c r="M16" s="8" t="str">
        <f t="shared" si="28"/>
        <v>0.05</v>
      </c>
      <c r="N16" s="8" t="str">
        <f t="shared" si="29"/>
        <v>0.062</v>
      </c>
      <c r="O16" s="8" t="str">
        <f t="shared" si="30"/>
        <v>0.046262</v>
      </c>
      <c r="P16" s="8" t="str">
        <f t="shared" si="31"/>
        <v>0.023857</v>
      </c>
      <c r="Q16" s="8" t="str">
        <f t="shared" si="32"/>
        <v>-0.05</v>
      </c>
      <c r="R16" s="8" t="str">
        <f t="shared" si="33"/>
        <v>-0.05</v>
      </c>
      <c r="S16" s="8" t="str">
        <f t="shared" si="34"/>
        <v>0.05</v>
      </c>
    </row>
    <row r="17" spans="1:19" x14ac:dyDescent="0.3">
      <c r="A17">
        <v>2039</v>
      </c>
      <c r="B17">
        <f>ROUND($B$13*(1+M17*(A17-$A$13)), 2)</f>
        <v>54.72</v>
      </c>
      <c r="C17">
        <f>ROUND($C$13*(1+N17*(A17-$A$13)), 2)</f>
        <v>82.97</v>
      </c>
      <c r="D17">
        <f>ROUND($D$13*(1+O17*(A17-$A$13)), 2)</f>
        <v>43.12</v>
      </c>
      <c r="E17">
        <f t="shared" si="24"/>
        <v>28.88</v>
      </c>
      <c r="F17">
        <f t="shared" si="25"/>
        <v>30.4</v>
      </c>
      <c r="G17">
        <f t="shared" si="26"/>
        <v>36.479999999999997</v>
      </c>
      <c r="H17">
        <f t="shared" si="27"/>
        <v>54.72</v>
      </c>
      <c r="L17">
        <v>2039</v>
      </c>
      <c r="M17" s="8" t="str">
        <f t="shared" si="28"/>
        <v>0.05</v>
      </c>
      <c r="N17" s="8" t="str">
        <f t="shared" si="29"/>
        <v>0.062</v>
      </c>
      <c r="O17" s="8" t="str">
        <f t="shared" si="30"/>
        <v>0.046262</v>
      </c>
      <c r="P17" s="8" t="str">
        <f t="shared" si="31"/>
        <v>0.023857</v>
      </c>
      <c r="Q17" s="8" t="str">
        <f t="shared" si="32"/>
        <v>-0.05</v>
      </c>
      <c r="R17" s="8" t="str">
        <f t="shared" si="33"/>
        <v>-0.05</v>
      </c>
      <c r="S17" s="8" t="str">
        <f t="shared" si="34"/>
        <v>0.05</v>
      </c>
    </row>
    <row r="18" spans="1:19" x14ac:dyDescent="0.3">
      <c r="A18">
        <v>2040</v>
      </c>
      <c r="B18">
        <f>ROUND($B$13*(1+M18*(A18-$A$13)), 2)</f>
        <v>57</v>
      </c>
      <c r="C18">
        <f>ROUND($C$13*(1+N18*(A18-$A$13)), 2)</f>
        <v>87.09</v>
      </c>
      <c r="D18">
        <f>ROUND($D$13*(1+O18*(A18-$A$13)), 2)</f>
        <v>44.81</v>
      </c>
      <c r="E18">
        <f t="shared" si="24"/>
        <v>29.5</v>
      </c>
      <c r="F18">
        <f t="shared" si="25"/>
        <v>28.5</v>
      </c>
      <c r="G18">
        <f t="shared" si="26"/>
        <v>34.200000000000003</v>
      </c>
      <c r="H18">
        <f t="shared" si="27"/>
        <v>57</v>
      </c>
      <c r="L18">
        <v>2040</v>
      </c>
      <c r="M18" s="8" t="str">
        <f t="shared" si="28"/>
        <v>0.05</v>
      </c>
      <c r="N18" s="8" t="str">
        <f t="shared" si="29"/>
        <v>0.062</v>
      </c>
      <c r="O18" s="8" t="str">
        <f t="shared" si="30"/>
        <v>0.046262</v>
      </c>
      <c r="P18" s="8" t="str">
        <f t="shared" si="31"/>
        <v>0.023857</v>
      </c>
      <c r="Q18" s="8" t="str">
        <f t="shared" si="32"/>
        <v>-0.05</v>
      </c>
      <c r="R18" s="8" t="str">
        <f t="shared" si="33"/>
        <v>-0.05</v>
      </c>
      <c r="S18" s="8" t="str">
        <f t="shared" si="34"/>
        <v>0.05</v>
      </c>
    </row>
    <row r="19" spans="1:19" x14ac:dyDescent="0.3">
      <c r="A19">
        <v>2041</v>
      </c>
      <c r="B19">
        <f t="shared" ref="B19:B28" si="35">ROUND($B$18*(1+M19*(A19-$A$18)), 2)</f>
        <v>58.43</v>
      </c>
      <c r="C19">
        <f t="shared" ref="C19:C28" si="36">ROUND($C$18*(1+N19*(A19-$A$18)), 2)</f>
        <v>89.79</v>
      </c>
      <c r="D19">
        <f t="shared" ref="D19:D28" si="37">ROUND($D$18*(1+O19*(A19-$A$18)), 2)</f>
        <v>45.85</v>
      </c>
      <c r="E19">
        <f>ROUND($E$18*(1+P19*(A19-$A$18)), 2)</f>
        <v>29.85</v>
      </c>
      <c r="F19">
        <f t="shared" si="25"/>
        <v>26.6</v>
      </c>
      <c r="G19">
        <f>ROUND($G$18*(1+R19*(A19-$A$18)), 2)</f>
        <v>35.06</v>
      </c>
      <c r="H19">
        <f>ROUND($H$18*(1+S19*(A19-$A$18)), 2)</f>
        <v>55.58</v>
      </c>
      <c r="L19">
        <v>2041</v>
      </c>
      <c r="M19" s="8" t="str">
        <f>HYPERLINK("#Assumption!J17","0.025")</f>
        <v>0.025</v>
      </c>
      <c r="N19" s="8" t="str">
        <f>HYPERLINK("#Assumption!J36","0.031")</f>
        <v>0.031</v>
      </c>
      <c r="O19" s="8" t="str">
        <f>HYPERLINK("#Assumption!J55","0.023131")</f>
        <v>0.023131</v>
      </c>
      <c r="P19" s="8" t="str">
        <f>HYPERLINK("#Assumption!J74","0.011929")</f>
        <v>0.011929</v>
      </c>
      <c r="Q19" s="8" t="str">
        <f t="shared" si="32"/>
        <v>-0.05</v>
      </c>
      <c r="R19" s="8" t="str">
        <f>HYPERLINK("#Assumption!J99","0.025")</f>
        <v>0.025</v>
      </c>
      <c r="S19" s="8" t="str">
        <f>HYPERLINK("#Assumption!J110","-0.025")</f>
        <v>-0.025</v>
      </c>
    </row>
    <row r="20" spans="1:19" x14ac:dyDescent="0.3">
      <c r="A20">
        <v>2042</v>
      </c>
      <c r="B20">
        <f t="shared" si="35"/>
        <v>59.85</v>
      </c>
      <c r="C20">
        <f t="shared" si="36"/>
        <v>92.49</v>
      </c>
      <c r="D20">
        <f t="shared" si="37"/>
        <v>46.88</v>
      </c>
      <c r="E20">
        <f t="shared" ref="E20:E28" si="38">ROUND($E$18*(1+P20*(A20-$A$18)), 2)</f>
        <v>30.2</v>
      </c>
      <c r="F20">
        <f t="shared" si="25"/>
        <v>24.7</v>
      </c>
      <c r="G20">
        <f t="shared" ref="G20:G28" si="39">ROUND($G$18*(1+R20*(A20-$A$18)), 2)</f>
        <v>35.909999999999997</v>
      </c>
      <c r="H20">
        <f t="shared" ref="H20:H23" si="40">ROUND($H$18*(1+S20*(A20-$A$18)), 2)</f>
        <v>54.15</v>
      </c>
      <c r="L20">
        <v>2042</v>
      </c>
      <c r="M20" s="8" t="str">
        <f t="shared" ref="M20:M28" si="41">HYPERLINK("#Assumption!J17","0.025")</f>
        <v>0.025</v>
      </c>
      <c r="N20" s="8" t="str">
        <f t="shared" ref="N20:N28" si="42">HYPERLINK("#Assumption!J36","0.031")</f>
        <v>0.031</v>
      </c>
      <c r="O20" s="8" t="str">
        <f t="shared" ref="O20:O28" si="43">HYPERLINK("#Assumption!J55","0.023131")</f>
        <v>0.023131</v>
      </c>
      <c r="P20" s="8" t="str">
        <f t="shared" ref="P20:P28" si="44">HYPERLINK("#Assumption!J74","0.011929")</f>
        <v>0.011929</v>
      </c>
      <c r="Q20" s="8" t="str">
        <f t="shared" si="32"/>
        <v>-0.05</v>
      </c>
      <c r="R20" s="8" t="str">
        <f t="shared" ref="R20:R28" si="45">HYPERLINK("#Assumption!J99","0.025")</f>
        <v>0.025</v>
      </c>
      <c r="S20" s="8" t="str">
        <f t="shared" ref="S20:S23" si="46">HYPERLINK("#Assumption!J110","-0.025")</f>
        <v>-0.025</v>
      </c>
    </row>
    <row r="21" spans="1:19" x14ac:dyDescent="0.3">
      <c r="A21">
        <v>2043</v>
      </c>
      <c r="B21">
        <f t="shared" si="35"/>
        <v>61.28</v>
      </c>
      <c r="C21">
        <f t="shared" si="36"/>
        <v>95.19</v>
      </c>
      <c r="D21">
        <f t="shared" si="37"/>
        <v>47.92</v>
      </c>
      <c r="E21">
        <f t="shared" si="38"/>
        <v>30.56</v>
      </c>
      <c r="F21">
        <f t="shared" si="25"/>
        <v>22.8</v>
      </c>
      <c r="G21">
        <f t="shared" si="39"/>
        <v>36.770000000000003</v>
      </c>
      <c r="H21">
        <f t="shared" si="40"/>
        <v>52.73</v>
      </c>
      <c r="L21">
        <v>2043</v>
      </c>
      <c r="M21" s="8" t="str">
        <f t="shared" si="41"/>
        <v>0.025</v>
      </c>
      <c r="N21" s="8" t="str">
        <f t="shared" si="42"/>
        <v>0.031</v>
      </c>
      <c r="O21" s="8" t="str">
        <f t="shared" si="43"/>
        <v>0.023131</v>
      </c>
      <c r="P21" s="8" t="str">
        <f t="shared" si="44"/>
        <v>0.011929</v>
      </c>
      <c r="Q21" s="8" t="str">
        <f t="shared" si="32"/>
        <v>-0.05</v>
      </c>
      <c r="R21" s="8" t="str">
        <f t="shared" si="45"/>
        <v>0.025</v>
      </c>
      <c r="S21" s="8" t="str">
        <f t="shared" si="46"/>
        <v>-0.025</v>
      </c>
    </row>
    <row r="22" spans="1:19" x14ac:dyDescent="0.3">
      <c r="A22">
        <v>2044</v>
      </c>
      <c r="B22">
        <f t="shared" si="35"/>
        <v>62.7</v>
      </c>
      <c r="C22">
        <f t="shared" si="36"/>
        <v>97.89</v>
      </c>
      <c r="D22">
        <f t="shared" si="37"/>
        <v>48.96</v>
      </c>
      <c r="E22">
        <f t="shared" si="38"/>
        <v>30.91</v>
      </c>
      <c r="F22">
        <f t="shared" si="25"/>
        <v>20.9</v>
      </c>
      <c r="G22">
        <f t="shared" si="39"/>
        <v>37.619999999999997</v>
      </c>
      <c r="H22">
        <f t="shared" si="40"/>
        <v>51.3</v>
      </c>
      <c r="L22">
        <v>2044</v>
      </c>
      <c r="M22" s="8" t="str">
        <f t="shared" si="41"/>
        <v>0.025</v>
      </c>
      <c r="N22" s="8" t="str">
        <f t="shared" si="42"/>
        <v>0.031</v>
      </c>
      <c r="O22" s="8" t="str">
        <f t="shared" si="43"/>
        <v>0.023131</v>
      </c>
      <c r="P22" s="8" t="str">
        <f t="shared" si="44"/>
        <v>0.011929</v>
      </c>
      <c r="Q22" s="8" t="str">
        <f t="shared" si="32"/>
        <v>-0.05</v>
      </c>
      <c r="R22" s="8" t="str">
        <f t="shared" si="45"/>
        <v>0.025</v>
      </c>
      <c r="S22" s="8" t="str">
        <f t="shared" si="46"/>
        <v>-0.025</v>
      </c>
    </row>
    <row r="23" spans="1:19" x14ac:dyDescent="0.3">
      <c r="A23">
        <v>2045</v>
      </c>
      <c r="B23">
        <f t="shared" si="35"/>
        <v>64.13</v>
      </c>
      <c r="C23">
        <f t="shared" si="36"/>
        <v>100.59</v>
      </c>
      <c r="D23">
        <f t="shared" si="37"/>
        <v>49.99</v>
      </c>
      <c r="E23">
        <f t="shared" si="38"/>
        <v>31.26</v>
      </c>
      <c r="F23">
        <f t="shared" si="25"/>
        <v>19</v>
      </c>
      <c r="G23">
        <f t="shared" si="39"/>
        <v>38.479999999999997</v>
      </c>
      <c r="H23">
        <f t="shared" si="40"/>
        <v>49.88</v>
      </c>
      <c r="L23">
        <v>2045</v>
      </c>
      <c r="M23" s="8" t="str">
        <f t="shared" si="41"/>
        <v>0.025</v>
      </c>
      <c r="N23" s="8" t="str">
        <f t="shared" si="42"/>
        <v>0.031</v>
      </c>
      <c r="O23" s="8" t="str">
        <f t="shared" si="43"/>
        <v>0.023131</v>
      </c>
      <c r="P23" s="8" t="str">
        <f t="shared" si="44"/>
        <v>0.011929</v>
      </c>
      <c r="Q23" s="8" t="str">
        <f t="shared" si="32"/>
        <v>-0.05</v>
      </c>
      <c r="R23" s="8" t="str">
        <f t="shared" si="45"/>
        <v>0.025</v>
      </c>
      <c r="S23" s="8" t="str">
        <f t="shared" si="46"/>
        <v>-0.025</v>
      </c>
    </row>
    <row r="24" spans="1:19" x14ac:dyDescent="0.3">
      <c r="A24">
        <v>2046</v>
      </c>
      <c r="B24">
        <f t="shared" si="35"/>
        <v>65.55</v>
      </c>
      <c r="C24">
        <f t="shared" si="36"/>
        <v>103.29</v>
      </c>
      <c r="D24">
        <f t="shared" si="37"/>
        <v>51.03</v>
      </c>
      <c r="E24">
        <f t="shared" si="38"/>
        <v>31.61</v>
      </c>
      <c r="F24">
        <f>ROUND($F$23*(1+Q24*(A24-$A$23)), 2)</f>
        <v>19.48</v>
      </c>
      <c r="G24">
        <f t="shared" si="39"/>
        <v>39.33</v>
      </c>
      <c r="H24">
        <f>ROUND($H$23*(1+S24*(A24-$A$23)), 2)</f>
        <v>50.5</v>
      </c>
      <c r="L24">
        <v>2046</v>
      </c>
      <c r="M24" s="8" t="str">
        <f t="shared" si="41"/>
        <v>0.025</v>
      </c>
      <c r="N24" s="8" t="str">
        <f t="shared" si="42"/>
        <v>0.031</v>
      </c>
      <c r="O24" s="8" t="str">
        <f t="shared" si="43"/>
        <v>0.023131</v>
      </c>
      <c r="P24" s="8" t="str">
        <f t="shared" si="44"/>
        <v>0.011929</v>
      </c>
      <c r="Q24" s="8" t="str">
        <f>HYPERLINK("#Assumption!J87","0.025")</f>
        <v>0.025</v>
      </c>
      <c r="R24" s="8" t="str">
        <f t="shared" si="45"/>
        <v>0.025</v>
      </c>
      <c r="S24" s="8" t="str">
        <f>HYPERLINK("#Assumption!J113","0.0125")</f>
        <v>0.0125</v>
      </c>
    </row>
    <row r="25" spans="1:19" x14ac:dyDescent="0.3">
      <c r="A25">
        <v>2047</v>
      </c>
      <c r="B25">
        <f t="shared" si="35"/>
        <v>66.98</v>
      </c>
      <c r="C25">
        <f t="shared" si="36"/>
        <v>105.99</v>
      </c>
      <c r="D25">
        <f t="shared" si="37"/>
        <v>52.07</v>
      </c>
      <c r="E25">
        <f t="shared" si="38"/>
        <v>31.96</v>
      </c>
      <c r="F25">
        <f t="shared" ref="F25:F28" si="47">ROUND($F$23*(1+Q25*(A25-$A$23)), 2)</f>
        <v>19.95</v>
      </c>
      <c r="G25">
        <f t="shared" si="39"/>
        <v>40.19</v>
      </c>
      <c r="H25">
        <f t="shared" ref="H25:H28" si="48">ROUND($H$23*(1+S25*(A25-$A$23)), 2)</f>
        <v>51.13</v>
      </c>
      <c r="L25">
        <v>2047</v>
      </c>
      <c r="M25" s="8" t="str">
        <f t="shared" si="41"/>
        <v>0.025</v>
      </c>
      <c r="N25" s="8" t="str">
        <f t="shared" si="42"/>
        <v>0.031</v>
      </c>
      <c r="O25" s="8" t="str">
        <f t="shared" si="43"/>
        <v>0.023131</v>
      </c>
      <c r="P25" s="8" t="str">
        <f t="shared" si="44"/>
        <v>0.011929</v>
      </c>
      <c r="Q25" s="8" t="str">
        <f t="shared" ref="Q25:Q28" si="49">HYPERLINK("#Assumption!J87","0.025")</f>
        <v>0.025</v>
      </c>
      <c r="R25" s="8" t="str">
        <f t="shared" si="45"/>
        <v>0.025</v>
      </c>
      <c r="S25" s="8" t="str">
        <f t="shared" ref="S25:S28" si="50">HYPERLINK("#Assumption!J113","0.0125")</f>
        <v>0.0125</v>
      </c>
    </row>
    <row r="26" spans="1:19" x14ac:dyDescent="0.3">
      <c r="A26">
        <v>2048</v>
      </c>
      <c r="B26">
        <f t="shared" si="35"/>
        <v>68.400000000000006</v>
      </c>
      <c r="C26">
        <f t="shared" si="36"/>
        <v>108.69</v>
      </c>
      <c r="D26">
        <f t="shared" si="37"/>
        <v>53.1</v>
      </c>
      <c r="E26">
        <f t="shared" si="38"/>
        <v>32.32</v>
      </c>
      <c r="F26">
        <f t="shared" si="47"/>
        <v>20.43</v>
      </c>
      <c r="G26">
        <f t="shared" si="39"/>
        <v>41.04</v>
      </c>
      <c r="H26">
        <f t="shared" si="48"/>
        <v>51.75</v>
      </c>
      <c r="L26">
        <v>2048</v>
      </c>
      <c r="M26" s="8" t="str">
        <f t="shared" si="41"/>
        <v>0.025</v>
      </c>
      <c r="N26" s="8" t="str">
        <f t="shared" si="42"/>
        <v>0.031</v>
      </c>
      <c r="O26" s="8" t="str">
        <f t="shared" si="43"/>
        <v>0.023131</v>
      </c>
      <c r="P26" s="8" t="str">
        <f t="shared" si="44"/>
        <v>0.011929</v>
      </c>
      <c r="Q26" s="8" t="str">
        <f t="shared" si="49"/>
        <v>0.025</v>
      </c>
      <c r="R26" s="8" t="str">
        <f t="shared" si="45"/>
        <v>0.025</v>
      </c>
      <c r="S26" s="8" t="str">
        <f t="shared" si="50"/>
        <v>0.0125</v>
      </c>
    </row>
    <row r="27" spans="1:19" x14ac:dyDescent="0.3">
      <c r="A27">
        <v>2049</v>
      </c>
      <c r="B27">
        <f t="shared" si="35"/>
        <v>69.83</v>
      </c>
      <c r="C27">
        <f t="shared" si="36"/>
        <v>111.39</v>
      </c>
      <c r="D27">
        <f t="shared" si="37"/>
        <v>54.14</v>
      </c>
      <c r="E27">
        <f t="shared" si="38"/>
        <v>32.67</v>
      </c>
      <c r="F27">
        <f t="shared" si="47"/>
        <v>20.9</v>
      </c>
      <c r="G27">
        <f t="shared" si="39"/>
        <v>41.9</v>
      </c>
      <c r="H27">
        <f t="shared" si="48"/>
        <v>52.37</v>
      </c>
      <c r="L27">
        <v>2049</v>
      </c>
      <c r="M27" s="8" t="str">
        <f t="shared" si="41"/>
        <v>0.025</v>
      </c>
      <c r="N27" s="8" t="str">
        <f t="shared" si="42"/>
        <v>0.031</v>
      </c>
      <c r="O27" s="8" t="str">
        <f t="shared" si="43"/>
        <v>0.023131</v>
      </c>
      <c r="P27" s="8" t="str">
        <f t="shared" si="44"/>
        <v>0.011929</v>
      </c>
      <c r="Q27" s="8" t="str">
        <f t="shared" si="49"/>
        <v>0.025</v>
      </c>
      <c r="R27" s="8" t="str">
        <f t="shared" si="45"/>
        <v>0.025</v>
      </c>
      <c r="S27" s="8" t="str">
        <f t="shared" si="50"/>
        <v>0.0125</v>
      </c>
    </row>
    <row r="28" spans="1:19" x14ac:dyDescent="0.3">
      <c r="A28">
        <v>2050</v>
      </c>
      <c r="B28">
        <f t="shared" si="35"/>
        <v>71.25</v>
      </c>
      <c r="C28">
        <f t="shared" si="36"/>
        <v>114.09</v>
      </c>
      <c r="D28">
        <f t="shared" si="37"/>
        <v>55.18</v>
      </c>
      <c r="E28">
        <f t="shared" si="38"/>
        <v>33.020000000000003</v>
      </c>
      <c r="F28">
        <f t="shared" si="47"/>
        <v>21.38</v>
      </c>
      <c r="G28">
        <f t="shared" si="39"/>
        <v>42.75</v>
      </c>
      <c r="H28">
        <f t="shared" si="48"/>
        <v>53</v>
      </c>
      <c r="L28">
        <v>2050</v>
      </c>
      <c r="M28" s="8" t="str">
        <f t="shared" si="41"/>
        <v>0.025</v>
      </c>
      <c r="N28" s="8" t="str">
        <f t="shared" si="42"/>
        <v>0.031</v>
      </c>
      <c r="O28" s="8" t="str">
        <f t="shared" si="43"/>
        <v>0.023131</v>
      </c>
      <c r="P28" s="8" t="str">
        <f t="shared" si="44"/>
        <v>0.011929</v>
      </c>
      <c r="Q28" s="8" t="str">
        <f t="shared" si="49"/>
        <v>0.025</v>
      </c>
      <c r="R28" s="8" t="str">
        <f t="shared" si="45"/>
        <v>0.025</v>
      </c>
      <c r="S28" s="8" t="str">
        <f t="shared" si="50"/>
        <v>0.0125</v>
      </c>
    </row>
  </sheetData>
  <mergeCells count="1">
    <mergeCell ref="M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C475-7A33-4DBB-B446-6DAB98D4D054}">
  <sheetPr>
    <tabColor rgb="FF00B050"/>
  </sheetPr>
  <dimension ref="A1:S28"/>
  <sheetViews>
    <sheetView workbookViewId="0">
      <selection activeCell="C8" sqref="C8"/>
    </sheetView>
  </sheetViews>
  <sheetFormatPr defaultRowHeight="14.4" x14ac:dyDescent="0.3"/>
  <cols>
    <col min="2" max="2" width="14.21875" bestFit="1" customWidth="1"/>
    <col min="3" max="3" width="16.33203125" bestFit="1" customWidth="1"/>
    <col min="4" max="4" width="22.6640625" bestFit="1" customWidth="1"/>
    <col min="5" max="5" width="19.33203125" bestFit="1" customWidth="1"/>
    <col min="6" max="6" width="28.109375" bestFit="1" customWidth="1"/>
    <col min="7" max="7" width="24.109375" bestFit="1" customWidth="1"/>
    <col min="8" max="8" width="18.77734375" bestFit="1" customWidth="1"/>
    <col min="13" max="13" width="7.88671875" customWidth="1"/>
    <col min="14" max="14" width="8" bestFit="1" customWidth="1"/>
    <col min="15" max="15" width="13.21875" bestFit="1" customWidth="1"/>
    <col min="16" max="16" width="9.88671875" customWidth="1"/>
    <col min="17" max="17" width="19.109375" bestFit="1" customWidth="1"/>
    <col min="18" max="18" width="15.109375" bestFit="1" customWidth="1"/>
    <col min="19" max="19" width="14" bestFit="1" customWidth="1"/>
  </cols>
  <sheetData>
    <row r="1" spans="1:19" x14ac:dyDescent="0.3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M1" s="24" t="s">
        <v>36</v>
      </c>
      <c r="N1" s="24"/>
      <c r="O1" s="24"/>
      <c r="P1" s="24"/>
      <c r="Q1" s="24"/>
      <c r="R1" s="24"/>
      <c r="S1" s="24"/>
    </row>
    <row r="2" spans="1:19" x14ac:dyDescent="0.3">
      <c r="A2">
        <v>2024</v>
      </c>
      <c r="B2">
        <v>16</v>
      </c>
      <c r="C2">
        <v>16</v>
      </c>
      <c r="D2">
        <v>16</v>
      </c>
      <c r="E2">
        <v>16</v>
      </c>
      <c r="F2">
        <v>16</v>
      </c>
      <c r="G2">
        <v>16</v>
      </c>
      <c r="H2">
        <v>16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44</v>
      </c>
    </row>
    <row r="3" spans="1:19" x14ac:dyDescent="0.3">
      <c r="A3">
        <v>2025</v>
      </c>
      <c r="B3">
        <f t="shared" ref="B3:B8" si="0">ROUND($B$2*(1+M3*(A3-$A$2)), 2)</f>
        <v>19.2</v>
      </c>
      <c r="C3">
        <f t="shared" ref="C3:C8" si="1">ROUND($C$2*(1+N3*(A3-$A$2)), 2)</f>
        <v>21.25</v>
      </c>
      <c r="D3">
        <f t="shared" ref="D3:D8" si="2">ROUND($D$2*(1+O3*(A3-$A$2)), 2)</f>
        <v>18.14</v>
      </c>
      <c r="E3">
        <f t="shared" ref="E3:E8" si="3">ROUND($E$2*(1+P3*(A3-$A$2)), 2)</f>
        <v>17.440000000000001</v>
      </c>
      <c r="F3">
        <f>ROUND($F$2*(1+Q3*(A3-$A$2)), 2)</f>
        <v>19.2</v>
      </c>
      <c r="G3">
        <f>ROUND($G$2*(1+R3*(A3-$A$2)), 2)</f>
        <v>19.2</v>
      </c>
      <c r="H3">
        <f>ROUND($H$2*(1+S3*(A3-$A$2)), 2)</f>
        <v>19.2</v>
      </c>
      <c r="L3">
        <v>2025</v>
      </c>
      <c r="M3" s="8" t="str">
        <f>HYPERLINK("#Assumption!R6","0.2")</f>
        <v>0.2</v>
      </c>
      <c r="N3" s="8" t="str">
        <f>HYPERLINK("#Assumption!R20","0.32833")</f>
        <v>0.32833</v>
      </c>
      <c r="O3" s="8" t="str">
        <f>HYPERLINK("#Assumption!R39","0.13345")</f>
        <v>0.13345</v>
      </c>
      <c r="P3" s="8" t="str">
        <f>HYPERLINK("#Assumption!R58","0.09")</f>
        <v>0.09</v>
      </c>
      <c r="Q3" s="8" t="str">
        <f>HYPERLINK("#Assumption!R77","0.2")</f>
        <v>0.2</v>
      </c>
      <c r="R3" s="8" t="str">
        <f>HYPERLINK("#Assumption!R90","0.2")</f>
        <v>0.2</v>
      </c>
      <c r="S3" s="8" t="str">
        <f>HYPERLINK("#Assumption!R102","0.2")</f>
        <v>0.2</v>
      </c>
    </row>
    <row r="4" spans="1:19" x14ac:dyDescent="0.3">
      <c r="A4">
        <v>2026</v>
      </c>
      <c r="B4">
        <f t="shared" si="0"/>
        <v>22.4</v>
      </c>
      <c r="C4">
        <f t="shared" si="1"/>
        <v>26.51</v>
      </c>
      <c r="D4">
        <f t="shared" si="2"/>
        <v>20.27</v>
      </c>
      <c r="E4">
        <f t="shared" si="3"/>
        <v>18.88</v>
      </c>
      <c r="F4">
        <f t="shared" ref="F4:F8" si="4">ROUND($F$2*(1+Q4*(A4-$A$2)), 2)</f>
        <v>22.4</v>
      </c>
      <c r="G4">
        <f t="shared" ref="G4:G8" si="5">ROUND($G$2*(1+R4*(A4-$A$2)), 2)</f>
        <v>22.4</v>
      </c>
      <c r="H4">
        <f t="shared" ref="H4:H8" si="6">ROUND($H$2*(1+S4*(A4-$A$2)), 2)</f>
        <v>22.4</v>
      </c>
      <c r="L4">
        <v>2026</v>
      </c>
      <c r="M4" s="8" t="str">
        <f t="shared" ref="M4:M8" si="7">HYPERLINK("#Assumption!R6","0.2")</f>
        <v>0.2</v>
      </c>
      <c r="N4" s="8" t="str">
        <f t="shared" ref="N4:N8" si="8">HYPERLINK("#Assumption!R20","0.32833")</f>
        <v>0.32833</v>
      </c>
      <c r="O4" s="8" t="str">
        <f t="shared" ref="O4:O8" si="9">HYPERLINK("#Assumption!R39","0.13345")</f>
        <v>0.13345</v>
      </c>
      <c r="P4" s="8" t="str">
        <f t="shared" ref="P4:P8" si="10">HYPERLINK("#Assumption!R58","0.09")</f>
        <v>0.09</v>
      </c>
      <c r="Q4" s="8" t="str">
        <f t="shared" ref="Q4:Q8" si="11">HYPERLINK("#Assumption!R77","0.2")</f>
        <v>0.2</v>
      </c>
      <c r="R4" s="8" t="str">
        <f t="shared" ref="R4:R7" si="12">HYPERLINK("#Assumption!R90","0.2")</f>
        <v>0.2</v>
      </c>
      <c r="S4" s="8" t="str">
        <f t="shared" ref="S4:S8" si="13">HYPERLINK("#Assumption!R102","0.2")</f>
        <v>0.2</v>
      </c>
    </row>
    <row r="5" spans="1:19" x14ac:dyDescent="0.3">
      <c r="A5">
        <v>2027</v>
      </c>
      <c r="B5">
        <f t="shared" si="0"/>
        <v>25.6</v>
      </c>
      <c r="C5">
        <f t="shared" si="1"/>
        <v>31.76</v>
      </c>
      <c r="D5">
        <f t="shared" si="2"/>
        <v>22.41</v>
      </c>
      <c r="E5">
        <f t="shared" si="3"/>
        <v>20.32</v>
      </c>
      <c r="F5">
        <f t="shared" si="4"/>
        <v>25.6</v>
      </c>
      <c r="G5">
        <f t="shared" si="5"/>
        <v>25.6</v>
      </c>
      <c r="H5">
        <f t="shared" si="6"/>
        <v>25.6</v>
      </c>
      <c r="L5">
        <v>2027</v>
      </c>
      <c r="M5" s="8" t="str">
        <f t="shared" si="7"/>
        <v>0.2</v>
      </c>
      <c r="N5" s="8" t="str">
        <f t="shared" si="8"/>
        <v>0.32833</v>
      </c>
      <c r="O5" s="8" t="str">
        <f t="shared" si="9"/>
        <v>0.13345</v>
      </c>
      <c r="P5" s="8" t="str">
        <f t="shared" si="10"/>
        <v>0.09</v>
      </c>
      <c r="Q5" s="8" t="str">
        <f t="shared" si="11"/>
        <v>0.2</v>
      </c>
      <c r="R5" s="8" t="str">
        <f t="shared" si="12"/>
        <v>0.2</v>
      </c>
      <c r="S5" s="8" t="str">
        <f t="shared" si="13"/>
        <v>0.2</v>
      </c>
    </row>
    <row r="6" spans="1:19" x14ac:dyDescent="0.3">
      <c r="A6">
        <v>2028</v>
      </c>
      <c r="B6">
        <f t="shared" si="0"/>
        <v>28.8</v>
      </c>
      <c r="C6">
        <f t="shared" si="1"/>
        <v>37.01</v>
      </c>
      <c r="D6">
        <f t="shared" si="2"/>
        <v>24.54</v>
      </c>
      <c r="E6">
        <f t="shared" si="3"/>
        <v>21.76</v>
      </c>
      <c r="F6">
        <f t="shared" si="4"/>
        <v>28.8</v>
      </c>
      <c r="G6">
        <f t="shared" si="5"/>
        <v>28.8</v>
      </c>
      <c r="H6">
        <f t="shared" si="6"/>
        <v>28.8</v>
      </c>
      <c r="L6">
        <v>2028</v>
      </c>
      <c r="M6" s="8" t="str">
        <f t="shared" si="7"/>
        <v>0.2</v>
      </c>
      <c r="N6" s="8" t="str">
        <f t="shared" si="8"/>
        <v>0.32833</v>
      </c>
      <c r="O6" s="8" t="str">
        <f t="shared" si="9"/>
        <v>0.13345</v>
      </c>
      <c r="P6" s="8" t="str">
        <f t="shared" si="10"/>
        <v>0.09</v>
      </c>
      <c r="Q6" s="8" t="str">
        <f t="shared" si="11"/>
        <v>0.2</v>
      </c>
      <c r="R6" s="8" t="str">
        <f t="shared" si="12"/>
        <v>0.2</v>
      </c>
      <c r="S6" s="8" t="str">
        <f t="shared" si="13"/>
        <v>0.2</v>
      </c>
    </row>
    <row r="7" spans="1:19" x14ac:dyDescent="0.3">
      <c r="A7">
        <v>2029</v>
      </c>
      <c r="B7">
        <f t="shared" si="0"/>
        <v>32</v>
      </c>
      <c r="C7">
        <f t="shared" si="1"/>
        <v>42.27</v>
      </c>
      <c r="D7">
        <f t="shared" si="2"/>
        <v>26.68</v>
      </c>
      <c r="E7">
        <f t="shared" si="3"/>
        <v>23.2</v>
      </c>
      <c r="F7">
        <f t="shared" si="4"/>
        <v>32</v>
      </c>
      <c r="G7">
        <f t="shared" si="5"/>
        <v>32</v>
      </c>
      <c r="H7">
        <f t="shared" si="6"/>
        <v>32</v>
      </c>
      <c r="L7">
        <v>2029</v>
      </c>
      <c r="M7" s="8" t="str">
        <f t="shared" si="7"/>
        <v>0.2</v>
      </c>
      <c r="N7" s="8" t="str">
        <f t="shared" si="8"/>
        <v>0.32833</v>
      </c>
      <c r="O7" s="8" t="str">
        <f t="shared" si="9"/>
        <v>0.13345</v>
      </c>
      <c r="P7" s="8" t="str">
        <f t="shared" si="10"/>
        <v>0.09</v>
      </c>
      <c r="Q7" s="8" t="str">
        <f t="shared" si="11"/>
        <v>0.2</v>
      </c>
      <c r="R7" s="8" t="str">
        <f t="shared" si="12"/>
        <v>0.2</v>
      </c>
      <c r="S7" s="8" t="str">
        <f t="shared" si="13"/>
        <v>0.2</v>
      </c>
    </row>
    <row r="8" spans="1:19" x14ac:dyDescent="0.3">
      <c r="A8">
        <v>2030</v>
      </c>
      <c r="B8">
        <f t="shared" si="0"/>
        <v>35.200000000000003</v>
      </c>
      <c r="C8">
        <f t="shared" si="1"/>
        <v>47.52</v>
      </c>
      <c r="D8">
        <f t="shared" si="2"/>
        <v>28.81</v>
      </c>
      <c r="E8">
        <f t="shared" si="3"/>
        <v>24.64</v>
      </c>
      <c r="F8">
        <f t="shared" si="4"/>
        <v>35.200000000000003</v>
      </c>
      <c r="G8">
        <f t="shared" si="5"/>
        <v>35.200000000000003</v>
      </c>
      <c r="H8">
        <f t="shared" si="6"/>
        <v>35.200000000000003</v>
      </c>
      <c r="L8">
        <v>2030</v>
      </c>
      <c r="M8" s="8" t="str">
        <f t="shared" si="7"/>
        <v>0.2</v>
      </c>
      <c r="N8" s="8" t="str">
        <f t="shared" si="8"/>
        <v>0.32833</v>
      </c>
      <c r="O8" s="8" t="str">
        <f t="shared" si="9"/>
        <v>0.13345</v>
      </c>
      <c r="P8" s="8" t="str">
        <f t="shared" si="10"/>
        <v>0.09</v>
      </c>
      <c r="Q8" s="8" t="str">
        <f t="shared" si="11"/>
        <v>0.2</v>
      </c>
      <c r="R8" s="8" t="str">
        <f>HYPERLINK("#Assumption!R90","0.2")</f>
        <v>0.2</v>
      </c>
      <c r="S8" s="8" t="str">
        <f t="shared" si="13"/>
        <v>0.2</v>
      </c>
    </row>
    <row r="9" spans="1:19" x14ac:dyDescent="0.3">
      <c r="A9">
        <v>2031</v>
      </c>
      <c r="B9">
        <f>ROUND($B$8*(1+M9*(A9-$A$8)), 2)</f>
        <v>40.479999999999997</v>
      </c>
      <c r="C9">
        <f>ROUND($C$8*(1+N9*(A9-$A$8)), 2)</f>
        <v>55.98</v>
      </c>
      <c r="D9">
        <f>ROUND($D$8*(1+O9*(A9-$A$8)), 2)</f>
        <v>32.880000000000003</v>
      </c>
      <c r="E9">
        <f>ROUND($E$8*(1+P9*(A9-$A$8)), 2)</f>
        <v>26.83</v>
      </c>
      <c r="F9">
        <f>ROUND($F$8*(1+Q9*(A9-$A$8)), 2)</f>
        <v>38.72</v>
      </c>
      <c r="G9">
        <f>ROUND($G$8*(1+R9*(A9-$A$8)), 2)</f>
        <v>40.479999999999997</v>
      </c>
      <c r="H9">
        <f>ROUND($H$8*(1+S9*(A9-$A$8)), 2)</f>
        <v>40.479999999999997</v>
      </c>
      <c r="J9" s="6"/>
      <c r="L9">
        <v>2031</v>
      </c>
      <c r="M9" s="8" t="str">
        <f>HYPERLINK("#Assumption!R10","0.15")</f>
        <v>0.15</v>
      </c>
      <c r="N9" s="8" t="str">
        <f>HYPERLINK("#Assumption!R26","0.178")</f>
        <v>0.178</v>
      </c>
      <c r="O9" s="8" t="str">
        <f>HYPERLINK("#Assumption!R45","0.141248")</f>
        <v>0.141248</v>
      </c>
      <c r="P9" s="8" t="str">
        <f>HYPERLINK("#Assumption!R64","0.089")</f>
        <v>0.089</v>
      </c>
      <c r="Q9" s="8" t="str">
        <f>HYPERLINK("#Assumption!R80","0.1")</f>
        <v>0.1</v>
      </c>
      <c r="R9" s="8" t="str">
        <f>HYPERLINK("#Assumption!R93","0.15")</f>
        <v>0.15</v>
      </c>
      <c r="S9" s="8" t="str">
        <f>HYPERLINK("#Assumption!R105","0.15")</f>
        <v>0.15</v>
      </c>
    </row>
    <row r="10" spans="1:19" x14ac:dyDescent="0.3">
      <c r="A10">
        <v>2032</v>
      </c>
      <c r="B10">
        <f>ROUND($B$8*(1+M10*(A10-$A$8)), 2)</f>
        <v>45.76</v>
      </c>
      <c r="C10">
        <f>ROUND($C$8*(1+N10*(A10-$A$8)), 2)</f>
        <v>64.44</v>
      </c>
      <c r="D10">
        <f>ROUND($D$8*(1+O10*(A10-$A$8)), 2)</f>
        <v>36.950000000000003</v>
      </c>
      <c r="E10">
        <f>ROUND($E$8*(1+P10*(A10-$A$8)), 2)</f>
        <v>29.03</v>
      </c>
      <c r="F10">
        <f t="shared" ref="F10:F13" si="14">ROUND($F$8*(1+Q10*(A10-$A$8)), 2)</f>
        <v>42.24</v>
      </c>
      <c r="G10">
        <f t="shared" ref="G10:G13" si="15">ROUND($G$8*(1+R10*(A10-$A$8)), 2)</f>
        <v>45.76</v>
      </c>
      <c r="H10">
        <f t="shared" ref="H10:H13" si="16">ROUND($H$8*(1+S10*(A10-$A$8)), 2)</f>
        <v>45.76</v>
      </c>
      <c r="L10">
        <v>2032</v>
      </c>
      <c r="M10" s="8" t="str">
        <f t="shared" ref="M10:M13" si="17">HYPERLINK("#Assumption!R10","0.15")</f>
        <v>0.15</v>
      </c>
      <c r="N10" s="8" t="str">
        <f t="shared" ref="N10:N13" si="18">HYPERLINK("#Assumption!R26","0.178")</f>
        <v>0.178</v>
      </c>
      <c r="O10" s="8" t="str">
        <f t="shared" ref="O10:O13" si="19">HYPERLINK("#Assumption!R45","0.141248")</f>
        <v>0.141248</v>
      </c>
      <c r="P10" s="8" t="str">
        <f t="shared" ref="P10:P13" si="20">HYPERLINK("#Assumption!R64","0.089")</f>
        <v>0.089</v>
      </c>
      <c r="Q10" s="8" t="str">
        <f t="shared" ref="Q10:Q13" si="21">HYPERLINK("#Assumption!R80","0.1")</f>
        <v>0.1</v>
      </c>
      <c r="R10" s="8" t="str">
        <f t="shared" ref="R10:R13" si="22">HYPERLINK("#Assumption!R93","0.15")</f>
        <v>0.15</v>
      </c>
      <c r="S10" s="8" t="str">
        <f t="shared" ref="S10:S13" si="23">HYPERLINK("#Assumption!R105","0.15")</f>
        <v>0.15</v>
      </c>
    </row>
    <row r="11" spans="1:19" x14ac:dyDescent="0.3">
      <c r="A11">
        <v>2033</v>
      </c>
      <c r="B11">
        <f>ROUND($B$8*(1+M11*(A11-$A$8)), 2)</f>
        <v>51.04</v>
      </c>
      <c r="C11">
        <f>ROUND($C$8*(1+N11*(A11-$A$8)), 2)</f>
        <v>72.900000000000006</v>
      </c>
      <c r="D11">
        <f>ROUND($D$8*(1+O11*(A11-$A$8)), 2)</f>
        <v>41.02</v>
      </c>
      <c r="E11">
        <f>ROUND($E$8*(1+P11*(A11-$A$8)), 2)</f>
        <v>31.22</v>
      </c>
      <c r="F11">
        <f t="shared" si="14"/>
        <v>45.76</v>
      </c>
      <c r="G11">
        <f t="shared" si="15"/>
        <v>51.04</v>
      </c>
      <c r="H11">
        <f t="shared" si="16"/>
        <v>51.04</v>
      </c>
      <c r="L11">
        <v>2033</v>
      </c>
      <c r="M11" s="8" t="str">
        <f t="shared" si="17"/>
        <v>0.15</v>
      </c>
      <c r="N11" s="8" t="str">
        <f t="shared" si="18"/>
        <v>0.178</v>
      </c>
      <c r="O11" s="8" t="str">
        <f t="shared" si="19"/>
        <v>0.141248</v>
      </c>
      <c r="P11" s="8" t="str">
        <f t="shared" si="20"/>
        <v>0.089</v>
      </c>
      <c r="Q11" s="8" t="str">
        <f t="shared" si="21"/>
        <v>0.1</v>
      </c>
      <c r="R11" s="8" t="str">
        <f t="shared" si="22"/>
        <v>0.15</v>
      </c>
      <c r="S11" s="8" t="str">
        <f t="shared" si="23"/>
        <v>0.15</v>
      </c>
    </row>
    <row r="12" spans="1:19" x14ac:dyDescent="0.3">
      <c r="A12">
        <v>2034</v>
      </c>
      <c r="B12">
        <f>ROUND($B$8*(1+M12*(A12-$A$8)), 2)</f>
        <v>56.32</v>
      </c>
      <c r="C12">
        <f>ROUND($C$8*(1+N12*(A12-$A$8)), 2)</f>
        <v>81.349999999999994</v>
      </c>
      <c r="D12">
        <f>ROUND($D$8*(1+O12*(A12-$A$8)), 2)</f>
        <v>45.09</v>
      </c>
      <c r="E12">
        <f>ROUND($E$8*(1+P12*(A12-$A$8)), 2)</f>
        <v>33.409999999999997</v>
      </c>
      <c r="F12">
        <f t="shared" si="14"/>
        <v>49.28</v>
      </c>
      <c r="G12">
        <f t="shared" si="15"/>
        <v>56.32</v>
      </c>
      <c r="H12">
        <f t="shared" si="16"/>
        <v>56.32</v>
      </c>
      <c r="L12">
        <v>2034</v>
      </c>
      <c r="M12" s="8" t="str">
        <f t="shared" si="17"/>
        <v>0.15</v>
      </c>
      <c r="N12" s="8" t="str">
        <f t="shared" si="18"/>
        <v>0.178</v>
      </c>
      <c r="O12" s="8" t="str">
        <f t="shared" si="19"/>
        <v>0.141248</v>
      </c>
      <c r="P12" s="8" t="str">
        <f t="shared" si="20"/>
        <v>0.089</v>
      </c>
      <c r="Q12" s="8" t="str">
        <f t="shared" si="21"/>
        <v>0.1</v>
      </c>
      <c r="R12" s="8" t="str">
        <f t="shared" si="22"/>
        <v>0.15</v>
      </c>
      <c r="S12" s="8" t="str">
        <f t="shared" si="23"/>
        <v>0.15</v>
      </c>
    </row>
    <row r="13" spans="1:19" x14ac:dyDescent="0.3">
      <c r="A13">
        <v>2035</v>
      </c>
      <c r="B13">
        <f>ROUND($B$8*(1+M13*(A13-$A$8)), 2)</f>
        <v>61.6</v>
      </c>
      <c r="C13">
        <f>ROUND($C$8*(1+N13*(A13-$A$8)), 2)</f>
        <v>89.81</v>
      </c>
      <c r="D13">
        <f>ROUND($D$8*(1+O13*(A13-$A$8)), 2)</f>
        <v>49.16</v>
      </c>
      <c r="E13">
        <f>ROUND($E$8*(1+P13*(A13-$A$8)), 2)</f>
        <v>35.6</v>
      </c>
      <c r="F13">
        <f t="shared" si="14"/>
        <v>52.8</v>
      </c>
      <c r="G13">
        <f t="shared" si="15"/>
        <v>61.6</v>
      </c>
      <c r="H13">
        <f t="shared" si="16"/>
        <v>61.6</v>
      </c>
      <c r="L13">
        <v>2035</v>
      </c>
      <c r="M13" s="8" t="str">
        <f t="shared" si="17"/>
        <v>0.15</v>
      </c>
      <c r="N13" s="8" t="str">
        <f t="shared" si="18"/>
        <v>0.178</v>
      </c>
      <c r="O13" s="8" t="str">
        <f t="shared" si="19"/>
        <v>0.141248</v>
      </c>
      <c r="P13" s="8" t="str">
        <f t="shared" si="20"/>
        <v>0.089</v>
      </c>
      <c r="Q13" s="8" t="str">
        <f t="shared" si="21"/>
        <v>0.1</v>
      </c>
      <c r="R13" s="8" t="str">
        <f t="shared" si="22"/>
        <v>0.15</v>
      </c>
      <c r="S13" s="8" t="str">
        <f t="shared" si="23"/>
        <v>0.15</v>
      </c>
    </row>
    <row r="14" spans="1:19" x14ac:dyDescent="0.3">
      <c r="A14">
        <v>2036</v>
      </c>
      <c r="B14">
        <f>ROUND($B$13*(1+M14*(A14-$A$13)), 2)</f>
        <v>66.22</v>
      </c>
      <c r="C14">
        <f>ROUND($C$13*(1+N14*(A14-$A$13)), 2)</f>
        <v>97.8</v>
      </c>
      <c r="D14">
        <f>ROUND($D$13*(1+O14*(A14-$A$13)), 2)</f>
        <v>52.63</v>
      </c>
      <c r="E14">
        <f>ROUND($E$13*(1+P14*(A14-$A$13)), 2)</f>
        <v>37.18</v>
      </c>
      <c r="F14">
        <f>ROUND($F$13*(1+Q14*(A14-$A$13)), 2)</f>
        <v>50.16</v>
      </c>
      <c r="G14">
        <f>ROUND($G$13*(1+R14*(A14-$A$13)), 2)</f>
        <v>56.98</v>
      </c>
      <c r="H14">
        <f>ROUND($H$13*(1+S14*(A14-$A$13)), 2)</f>
        <v>66.22</v>
      </c>
      <c r="L14">
        <v>2036</v>
      </c>
      <c r="M14" s="8" t="str">
        <f>HYPERLINK("#Assumption!R13","0.075")</f>
        <v>0.075</v>
      </c>
      <c r="N14" s="8" t="str">
        <f>HYPERLINK("#Assumption!R32","0.089")</f>
        <v>0.089</v>
      </c>
      <c r="O14" s="8" t="str">
        <f>HYPERLINK("#Assumption!R51","0.07062")</f>
        <v>0.07062</v>
      </c>
      <c r="P14" s="8" t="str">
        <f>HYPERLINK("#Assumption!R70","0.0445")</f>
        <v>0.0445</v>
      </c>
      <c r="Q14" s="8" t="str">
        <f>HYPERLINK("#Assumption!R83","-0.05")</f>
        <v>-0.05</v>
      </c>
      <c r="R14" s="8" t="str">
        <f>HYPERLINK("#Assumption!R95","-0.075")</f>
        <v>-0.075</v>
      </c>
      <c r="S14" s="8" t="str">
        <f>HYPERLINK("#Assumption!R107","0.075")</f>
        <v>0.075</v>
      </c>
    </row>
    <row r="15" spans="1:19" x14ac:dyDescent="0.3">
      <c r="A15">
        <v>2037</v>
      </c>
      <c r="B15">
        <f>ROUND($B$13*(1+M15*(A15-$A$13)), 2)</f>
        <v>70.84</v>
      </c>
      <c r="C15">
        <f>ROUND($C$13*(1+N15*(A15-$A$13)), 2)</f>
        <v>105.8</v>
      </c>
      <c r="D15">
        <f>ROUND($D$13*(1+O15*(A15-$A$13)), 2)</f>
        <v>56.1</v>
      </c>
      <c r="E15">
        <f t="shared" ref="E15:E18" si="24">ROUND($E$13*(1+P15*(A15-$A$13)), 2)</f>
        <v>38.770000000000003</v>
      </c>
      <c r="F15">
        <f t="shared" ref="F15:F23" si="25">ROUND($F$13*(1+Q15*(A15-$A$13)), 2)</f>
        <v>47.52</v>
      </c>
      <c r="G15">
        <f t="shared" ref="G15:G18" si="26">ROUND($G$13*(1+R15*(A15-$A$13)), 2)</f>
        <v>52.36</v>
      </c>
      <c r="H15">
        <f t="shared" ref="H15:H18" si="27">ROUND($H$13*(1+S15*(A15-$A$13)), 2)</f>
        <v>70.84</v>
      </c>
      <c r="L15">
        <v>2037</v>
      </c>
      <c r="M15" s="8" t="str">
        <f t="shared" ref="M15:M18" si="28">HYPERLINK("#Assumption!R13","0.075")</f>
        <v>0.075</v>
      </c>
      <c r="N15" s="8" t="str">
        <f t="shared" ref="N15:N18" si="29">HYPERLINK("#Assumption!R32","0.089")</f>
        <v>0.089</v>
      </c>
      <c r="O15" s="8" t="str">
        <f t="shared" ref="O15:O18" si="30">HYPERLINK("#Assumption!R51","0.07062")</f>
        <v>0.07062</v>
      </c>
      <c r="P15" s="8" t="str">
        <f t="shared" ref="P15:P18" si="31">HYPERLINK("#Assumption!R70","0.0445")</f>
        <v>0.0445</v>
      </c>
      <c r="Q15" s="8" t="str">
        <f t="shared" ref="Q15:Q23" si="32">HYPERLINK("#Assumption!R83","-0.05")</f>
        <v>-0.05</v>
      </c>
      <c r="R15" s="8" t="str">
        <f t="shared" ref="R15:R18" si="33">HYPERLINK("#Assumption!R95","-0.075")</f>
        <v>-0.075</v>
      </c>
      <c r="S15" s="8" t="str">
        <f t="shared" ref="S15:S18" si="34">HYPERLINK("#Assumption!R107","0.075")</f>
        <v>0.075</v>
      </c>
    </row>
    <row r="16" spans="1:19" x14ac:dyDescent="0.3">
      <c r="A16">
        <v>2038</v>
      </c>
      <c r="B16">
        <f>ROUND($B$13*(1+M16*(A16-$A$13)), 2)</f>
        <v>75.459999999999994</v>
      </c>
      <c r="C16">
        <f>ROUND($C$13*(1+N16*(A16-$A$13)), 2)</f>
        <v>113.79</v>
      </c>
      <c r="D16">
        <f>ROUND($D$13*(1+O16*(A16-$A$13)), 2)</f>
        <v>59.58</v>
      </c>
      <c r="E16">
        <f t="shared" si="24"/>
        <v>40.35</v>
      </c>
      <c r="F16">
        <f t="shared" si="25"/>
        <v>44.88</v>
      </c>
      <c r="G16">
        <f t="shared" si="26"/>
        <v>47.74</v>
      </c>
      <c r="H16">
        <f t="shared" si="27"/>
        <v>75.459999999999994</v>
      </c>
      <c r="L16">
        <v>2038</v>
      </c>
      <c r="M16" s="8" t="str">
        <f t="shared" si="28"/>
        <v>0.075</v>
      </c>
      <c r="N16" s="8" t="str">
        <f t="shared" si="29"/>
        <v>0.089</v>
      </c>
      <c r="O16" s="8" t="str">
        <f t="shared" si="30"/>
        <v>0.07062</v>
      </c>
      <c r="P16" s="8" t="str">
        <f t="shared" si="31"/>
        <v>0.0445</v>
      </c>
      <c r="Q16" s="8" t="str">
        <f t="shared" si="32"/>
        <v>-0.05</v>
      </c>
      <c r="R16" s="8" t="str">
        <f t="shared" si="33"/>
        <v>-0.075</v>
      </c>
      <c r="S16" s="8" t="str">
        <f t="shared" si="34"/>
        <v>0.075</v>
      </c>
    </row>
    <row r="17" spans="1:19" x14ac:dyDescent="0.3">
      <c r="A17">
        <v>2039</v>
      </c>
      <c r="B17">
        <f>ROUND($B$13*(1+M17*(A17-$A$13)), 2)</f>
        <v>80.08</v>
      </c>
      <c r="C17">
        <f>ROUND($C$13*(1+N17*(A17-$A$13)), 2)</f>
        <v>121.78</v>
      </c>
      <c r="D17">
        <f>ROUND($D$13*(1+O17*(A17-$A$13)), 2)</f>
        <v>63.05</v>
      </c>
      <c r="E17">
        <f t="shared" si="24"/>
        <v>41.94</v>
      </c>
      <c r="F17">
        <f t="shared" si="25"/>
        <v>42.24</v>
      </c>
      <c r="G17">
        <f t="shared" si="26"/>
        <v>43.12</v>
      </c>
      <c r="H17">
        <f t="shared" si="27"/>
        <v>80.08</v>
      </c>
      <c r="L17">
        <v>2039</v>
      </c>
      <c r="M17" s="8" t="str">
        <f t="shared" si="28"/>
        <v>0.075</v>
      </c>
      <c r="N17" s="8" t="str">
        <f t="shared" si="29"/>
        <v>0.089</v>
      </c>
      <c r="O17" s="8" t="str">
        <f t="shared" si="30"/>
        <v>0.07062</v>
      </c>
      <c r="P17" s="8" t="str">
        <f t="shared" si="31"/>
        <v>0.0445</v>
      </c>
      <c r="Q17" s="8" t="str">
        <f t="shared" si="32"/>
        <v>-0.05</v>
      </c>
      <c r="R17" s="8" t="str">
        <f t="shared" si="33"/>
        <v>-0.075</v>
      </c>
      <c r="S17" s="8" t="str">
        <f t="shared" si="34"/>
        <v>0.075</v>
      </c>
    </row>
    <row r="18" spans="1:19" x14ac:dyDescent="0.3">
      <c r="A18">
        <v>2040</v>
      </c>
      <c r="B18">
        <f>ROUND($B$13*(1+M18*(A18-$A$13)), 2)</f>
        <v>84.7</v>
      </c>
      <c r="C18">
        <f>ROUND($C$13*(1+N18*(A18-$A$13)), 2)</f>
        <v>129.78</v>
      </c>
      <c r="D18">
        <f>ROUND($D$13*(1+O18*(A18-$A$13)), 2)</f>
        <v>66.52</v>
      </c>
      <c r="E18">
        <f t="shared" si="24"/>
        <v>43.52</v>
      </c>
      <c r="F18">
        <f t="shared" si="25"/>
        <v>39.6</v>
      </c>
      <c r="G18">
        <f t="shared" si="26"/>
        <v>38.5</v>
      </c>
      <c r="H18">
        <f t="shared" si="27"/>
        <v>84.7</v>
      </c>
      <c r="L18">
        <v>2040</v>
      </c>
      <c r="M18" s="8" t="str">
        <f t="shared" si="28"/>
        <v>0.075</v>
      </c>
      <c r="N18" s="8" t="str">
        <f t="shared" si="29"/>
        <v>0.089</v>
      </c>
      <c r="O18" s="8" t="str">
        <f t="shared" si="30"/>
        <v>0.07062</v>
      </c>
      <c r="P18" s="8" t="str">
        <f t="shared" si="31"/>
        <v>0.0445</v>
      </c>
      <c r="Q18" s="8" t="str">
        <f t="shared" si="32"/>
        <v>-0.05</v>
      </c>
      <c r="R18" s="8" t="str">
        <f t="shared" si="33"/>
        <v>-0.075</v>
      </c>
      <c r="S18" s="8" t="str">
        <f t="shared" si="34"/>
        <v>0.075</v>
      </c>
    </row>
    <row r="19" spans="1:19" x14ac:dyDescent="0.3">
      <c r="A19">
        <v>2041</v>
      </c>
      <c r="B19">
        <f t="shared" ref="B19:B28" si="35">ROUND($B$18*(1+M19*(A19-$A$18)), 2)</f>
        <v>87.88</v>
      </c>
      <c r="C19">
        <f t="shared" ref="C19:C28" si="36">ROUND($C$18*(1+N19*(A19-$A$18)), 2)</f>
        <v>135.56</v>
      </c>
      <c r="D19">
        <f t="shared" ref="D19:D28" si="37">ROUND($D$18*(1+O19*(A19-$A$18)), 2)</f>
        <v>68.87</v>
      </c>
      <c r="E19">
        <f>ROUND($E$18*(1+P19*(A19-$A$18)), 2)</f>
        <v>44.49</v>
      </c>
      <c r="F19">
        <f t="shared" si="25"/>
        <v>36.96</v>
      </c>
      <c r="G19">
        <f>ROUND($G$18*(1+R19*(A19-$A$18)), 2)</f>
        <v>39.94</v>
      </c>
      <c r="H19">
        <f>ROUND($H$18*(1+S19*(A19-$A$18)), 2)</f>
        <v>81.52</v>
      </c>
      <c r="L19">
        <v>2041</v>
      </c>
      <c r="M19" s="8" t="str">
        <f>HYPERLINK("#Assumption!R16","0.0375")</f>
        <v>0.0375</v>
      </c>
      <c r="N19" s="8" t="str">
        <f>HYPERLINK("#Assumption!R35","0.0445")</f>
        <v>0.0445</v>
      </c>
      <c r="O19" s="8" t="str">
        <f>HYPERLINK("#Assumption!R54","0.035312")</f>
        <v>0.035312</v>
      </c>
      <c r="P19" s="8" t="str">
        <f>HYPERLINK("#Assumption!R73","0.02225")</f>
        <v>0.02225</v>
      </c>
      <c r="Q19" s="8" t="str">
        <f t="shared" si="32"/>
        <v>-0.05</v>
      </c>
      <c r="R19" s="8" t="str">
        <f>HYPERLINK("#Assumption!R98","0.0375")</f>
        <v>0.0375</v>
      </c>
      <c r="S19" s="8" t="str">
        <f>HYPERLINK("#Assumption!R109","-0.0375")</f>
        <v>-0.0375</v>
      </c>
    </row>
    <row r="20" spans="1:19" x14ac:dyDescent="0.3">
      <c r="A20">
        <v>2042</v>
      </c>
      <c r="B20">
        <f t="shared" si="35"/>
        <v>91.05</v>
      </c>
      <c r="C20">
        <f t="shared" si="36"/>
        <v>141.33000000000001</v>
      </c>
      <c r="D20">
        <f t="shared" si="37"/>
        <v>71.22</v>
      </c>
      <c r="E20">
        <f t="shared" ref="E20:E28" si="38">ROUND($E$18*(1+P20*(A20-$A$18)), 2)</f>
        <v>45.46</v>
      </c>
      <c r="F20">
        <f t="shared" si="25"/>
        <v>34.32</v>
      </c>
      <c r="G20">
        <f t="shared" ref="G20:G28" si="39">ROUND($G$18*(1+R20*(A20-$A$18)), 2)</f>
        <v>41.39</v>
      </c>
      <c r="H20">
        <f t="shared" ref="H20:H23" si="40">ROUND($H$18*(1+S20*(A20-$A$18)), 2)</f>
        <v>78.349999999999994</v>
      </c>
      <c r="L20">
        <v>2042</v>
      </c>
      <c r="M20" s="8" t="str">
        <f t="shared" ref="M20:M28" si="41">HYPERLINK("#Assumption!R16","0.0375")</f>
        <v>0.0375</v>
      </c>
      <c r="N20" s="8" t="str">
        <f t="shared" ref="N20:N28" si="42">HYPERLINK("#Assumption!R35","0.0445")</f>
        <v>0.0445</v>
      </c>
      <c r="O20" s="8" t="str">
        <f t="shared" ref="O20:O28" si="43">HYPERLINK("#Assumption!R54","0.035312")</f>
        <v>0.035312</v>
      </c>
      <c r="P20" s="8" t="str">
        <f t="shared" ref="P20:P28" si="44">HYPERLINK("#Assumption!R73","0.02225")</f>
        <v>0.02225</v>
      </c>
      <c r="Q20" s="8" t="str">
        <f t="shared" si="32"/>
        <v>-0.05</v>
      </c>
      <c r="R20" s="8" t="str">
        <f t="shared" ref="R20:R28" si="45">HYPERLINK("#Assumption!R98","0.0375")</f>
        <v>0.0375</v>
      </c>
      <c r="S20" s="8" t="str">
        <f t="shared" ref="S20:S23" si="46">HYPERLINK("#Assumption!R109","-0.0375")</f>
        <v>-0.0375</v>
      </c>
    </row>
    <row r="21" spans="1:19" x14ac:dyDescent="0.3">
      <c r="A21">
        <v>2043</v>
      </c>
      <c r="B21">
        <f t="shared" si="35"/>
        <v>94.23</v>
      </c>
      <c r="C21">
        <f t="shared" si="36"/>
        <v>147.11000000000001</v>
      </c>
      <c r="D21">
        <f t="shared" si="37"/>
        <v>73.569999999999993</v>
      </c>
      <c r="E21">
        <f t="shared" si="38"/>
        <v>46.42</v>
      </c>
      <c r="F21">
        <f t="shared" si="25"/>
        <v>31.68</v>
      </c>
      <c r="G21">
        <f t="shared" si="39"/>
        <v>42.83</v>
      </c>
      <c r="H21">
        <f t="shared" si="40"/>
        <v>75.17</v>
      </c>
      <c r="L21">
        <v>2043</v>
      </c>
      <c r="M21" s="8" t="str">
        <f t="shared" si="41"/>
        <v>0.0375</v>
      </c>
      <c r="N21" s="8" t="str">
        <f t="shared" si="42"/>
        <v>0.0445</v>
      </c>
      <c r="O21" s="8" t="str">
        <f t="shared" si="43"/>
        <v>0.035312</v>
      </c>
      <c r="P21" s="8" t="str">
        <f t="shared" si="44"/>
        <v>0.02225</v>
      </c>
      <c r="Q21" s="8" t="str">
        <f t="shared" si="32"/>
        <v>-0.05</v>
      </c>
      <c r="R21" s="8" t="str">
        <f t="shared" si="45"/>
        <v>0.0375</v>
      </c>
      <c r="S21" s="8" t="str">
        <f t="shared" si="46"/>
        <v>-0.0375</v>
      </c>
    </row>
    <row r="22" spans="1:19" x14ac:dyDescent="0.3">
      <c r="A22">
        <v>2044</v>
      </c>
      <c r="B22">
        <f t="shared" si="35"/>
        <v>97.41</v>
      </c>
      <c r="C22">
        <f t="shared" si="36"/>
        <v>152.88</v>
      </c>
      <c r="D22">
        <f t="shared" si="37"/>
        <v>75.92</v>
      </c>
      <c r="E22">
        <f t="shared" si="38"/>
        <v>47.39</v>
      </c>
      <c r="F22">
        <f t="shared" si="25"/>
        <v>29.04</v>
      </c>
      <c r="G22">
        <f t="shared" si="39"/>
        <v>44.28</v>
      </c>
      <c r="H22">
        <f t="shared" si="40"/>
        <v>72</v>
      </c>
      <c r="L22">
        <v>2044</v>
      </c>
      <c r="M22" s="8" t="str">
        <f t="shared" si="41"/>
        <v>0.0375</v>
      </c>
      <c r="N22" s="8" t="str">
        <f t="shared" si="42"/>
        <v>0.0445</v>
      </c>
      <c r="O22" s="8" t="str">
        <f t="shared" si="43"/>
        <v>0.035312</v>
      </c>
      <c r="P22" s="8" t="str">
        <f t="shared" si="44"/>
        <v>0.02225</v>
      </c>
      <c r="Q22" s="8" t="str">
        <f t="shared" si="32"/>
        <v>-0.05</v>
      </c>
      <c r="R22" s="8" t="str">
        <f t="shared" si="45"/>
        <v>0.0375</v>
      </c>
      <c r="S22" s="8" t="str">
        <f t="shared" si="46"/>
        <v>-0.0375</v>
      </c>
    </row>
    <row r="23" spans="1:19" x14ac:dyDescent="0.3">
      <c r="A23">
        <v>2045</v>
      </c>
      <c r="B23">
        <f t="shared" si="35"/>
        <v>100.58</v>
      </c>
      <c r="C23">
        <f t="shared" si="36"/>
        <v>158.66</v>
      </c>
      <c r="D23">
        <f t="shared" si="37"/>
        <v>78.260000000000005</v>
      </c>
      <c r="E23">
        <f t="shared" si="38"/>
        <v>48.36</v>
      </c>
      <c r="F23">
        <f t="shared" si="25"/>
        <v>26.4</v>
      </c>
      <c r="G23">
        <f t="shared" si="39"/>
        <v>45.72</v>
      </c>
      <c r="H23">
        <f t="shared" si="40"/>
        <v>68.819999999999993</v>
      </c>
      <c r="L23">
        <v>2045</v>
      </c>
      <c r="M23" s="8" t="str">
        <f t="shared" si="41"/>
        <v>0.0375</v>
      </c>
      <c r="N23" s="8" t="str">
        <f t="shared" si="42"/>
        <v>0.0445</v>
      </c>
      <c r="O23" s="8" t="str">
        <f t="shared" si="43"/>
        <v>0.035312</v>
      </c>
      <c r="P23" s="8" t="str">
        <f t="shared" si="44"/>
        <v>0.02225</v>
      </c>
      <c r="Q23" s="8" t="str">
        <f t="shared" si="32"/>
        <v>-0.05</v>
      </c>
      <c r="R23" s="8" t="str">
        <f t="shared" si="45"/>
        <v>0.0375</v>
      </c>
      <c r="S23" s="8" t="str">
        <f t="shared" si="46"/>
        <v>-0.0375</v>
      </c>
    </row>
    <row r="24" spans="1:19" x14ac:dyDescent="0.3">
      <c r="A24">
        <v>2046</v>
      </c>
      <c r="B24">
        <f t="shared" si="35"/>
        <v>103.76</v>
      </c>
      <c r="C24">
        <f t="shared" si="36"/>
        <v>164.43</v>
      </c>
      <c r="D24">
        <f t="shared" si="37"/>
        <v>80.61</v>
      </c>
      <c r="E24">
        <f t="shared" si="38"/>
        <v>49.33</v>
      </c>
      <c r="F24">
        <f>ROUND($F$23*(1+Q24*(A24-$A$23)), 2)</f>
        <v>27.06</v>
      </c>
      <c r="G24">
        <f t="shared" si="39"/>
        <v>47.16</v>
      </c>
      <c r="H24">
        <f>ROUND($H$23*(1+S24*(A24-$A$23)), 2)</f>
        <v>70.11</v>
      </c>
      <c r="L24">
        <v>2046</v>
      </c>
      <c r="M24" s="8" t="str">
        <f t="shared" si="41"/>
        <v>0.0375</v>
      </c>
      <c r="N24" s="8" t="str">
        <f t="shared" si="42"/>
        <v>0.0445</v>
      </c>
      <c r="O24" s="8" t="str">
        <f t="shared" si="43"/>
        <v>0.035312</v>
      </c>
      <c r="P24" s="8" t="str">
        <f t="shared" si="44"/>
        <v>0.02225</v>
      </c>
      <c r="Q24" s="8" t="str">
        <f>HYPERLINK("#Assumption!R86","0.025")</f>
        <v>0.025</v>
      </c>
      <c r="R24" s="8" t="str">
        <f t="shared" si="45"/>
        <v>0.0375</v>
      </c>
      <c r="S24" s="8" t="str">
        <f>HYPERLINK("#Assumption!R112","0.01875")</f>
        <v>0.01875</v>
      </c>
    </row>
    <row r="25" spans="1:19" x14ac:dyDescent="0.3">
      <c r="A25">
        <v>2047</v>
      </c>
      <c r="B25">
        <f t="shared" si="35"/>
        <v>106.93</v>
      </c>
      <c r="C25">
        <f t="shared" si="36"/>
        <v>170.21</v>
      </c>
      <c r="D25">
        <f t="shared" si="37"/>
        <v>82.96</v>
      </c>
      <c r="E25">
        <f t="shared" si="38"/>
        <v>50.3</v>
      </c>
      <c r="F25">
        <f t="shared" ref="F25:F28" si="47">ROUND($F$23*(1+Q25*(A25-$A$23)), 2)</f>
        <v>27.72</v>
      </c>
      <c r="G25">
        <f t="shared" si="39"/>
        <v>48.61</v>
      </c>
      <c r="H25">
        <f t="shared" ref="H25:H28" si="48">ROUND($H$23*(1+S25*(A25-$A$23)), 2)</f>
        <v>71.400000000000006</v>
      </c>
      <c r="L25">
        <v>2047</v>
      </c>
      <c r="M25" s="8" t="str">
        <f t="shared" si="41"/>
        <v>0.0375</v>
      </c>
      <c r="N25" s="8" t="str">
        <f t="shared" si="42"/>
        <v>0.0445</v>
      </c>
      <c r="O25" s="8" t="str">
        <f t="shared" si="43"/>
        <v>0.035312</v>
      </c>
      <c r="P25" s="8" t="str">
        <f t="shared" si="44"/>
        <v>0.02225</v>
      </c>
      <c r="Q25" s="8" t="str">
        <f t="shared" ref="Q25:Q28" si="49">HYPERLINK("#Assumption!R86","0.025")</f>
        <v>0.025</v>
      </c>
      <c r="R25" s="8" t="str">
        <f t="shared" si="45"/>
        <v>0.0375</v>
      </c>
      <c r="S25" s="8" t="str">
        <f t="shared" ref="S25:S28" si="50">HYPERLINK("#Assumption!R112","0.01875")</f>
        <v>0.01875</v>
      </c>
    </row>
    <row r="26" spans="1:19" x14ac:dyDescent="0.3">
      <c r="A26">
        <v>2048</v>
      </c>
      <c r="B26">
        <f t="shared" si="35"/>
        <v>110.11</v>
      </c>
      <c r="C26">
        <f t="shared" si="36"/>
        <v>175.98</v>
      </c>
      <c r="D26">
        <f t="shared" si="37"/>
        <v>85.31</v>
      </c>
      <c r="E26">
        <f t="shared" si="38"/>
        <v>51.27</v>
      </c>
      <c r="F26">
        <f t="shared" si="47"/>
        <v>28.38</v>
      </c>
      <c r="G26">
        <f t="shared" si="39"/>
        <v>50.05</v>
      </c>
      <c r="H26">
        <f t="shared" si="48"/>
        <v>72.69</v>
      </c>
      <c r="L26">
        <v>2048</v>
      </c>
      <c r="M26" s="8" t="str">
        <f t="shared" si="41"/>
        <v>0.0375</v>
      </c>
      <c r="N26" s="8" t="str">
        <f t="shared" si="42"/>
        <v>0.0445</v>
      </c>
      <c r="O26" s="8" t="str">
        <f t="shared" si="43"/>
        <v>0.035312</v>
      </c>
      <c r="P26" s="8" t="str">
        <f t="shared" si="44"/>
        <v>0.02225</v>
      </c>
      <c r="Q26" s="8" t="str">
        <f t="shared" si="49"/>
        <v>0.025</v>
      </c>
      <c r="R26" s="8" t="str">
        <f t="shared" si="45"/>
        <v>0.0375</v>
      </c>
      <c r="S26" s="8" t="str">
        <f t="shared" si="50"/>
        <v>0.01875</v>
      </c>
    </row>
    <row r="27" spans="1:19" x14ac:dyDescent="0.3">
      <c r="A27">
        <v>2049</v>
      </c>
      <c r="B27">
        <f t="shared" si="35"/>
        <v>113.29</v>
      </c>
      <c r="C27">
        <f t="shared" si="36"/>
        <v>181.76</v>
      </c>
      <c r="D27">
        <f t="shared" si="37"/>
        <v>87.66</v>
      </c>
      <c r="E27">
        <f t="shared" si="38"/>
        <v>52.23</v>
      </c>
      <c r="F27">
        <f t="shared" si="47"/>
        <v>29.04</v>
      </c>
      <c r="G27">
        <f t="shared" si="39"/>
        <v>51.49</v>
      </c>
      <c r="H27">
        <f t="shared" si="48"/>
        <v>73.98</v>
      </c>
      <c r="L27">
        <v>2049</v>
      </c>
      <c r="M27" s="8" t="str">
        <f t="shared" si="41"/>
        <v>0.0375</v>
      </c>
      <c r="N27" s="8" t="str">
        <f t="shared" si="42"/>
        <v>0.0445</v>
      </c>
      <c r="O27" s="8" t="str">
        <f t="shared" si="43"/>
        <v>0.035312</v>
      </c>
      <c r="P27" s="8" t="str">
        <f t="shared" si="44"/>
        <v>0.02225</v>
      </c>
      <c r="Q27" s="8" t="str">
        <f t="shared" si="49"/>
        <v>0.025</v>
      </c>
      <c r="R27" s="8" t="str">
        <f t="shared" si="45"/>
        <v>0.0375</v>
      </c>
      <c r="S27" s="8" t="str">
        <f t="shared" si="50"/>
        <v>0.01875</v>
      </c>
    </row>
    <row r="28" spans="1:19" x14ac:dyDescent="0.3">
      <c r="A28">
        <v>2050</v>
      </c>
      <c r="B28">
        <f t="shared" si="35"/>
        <v>116.46</v>
      </c>
      <c r="C28">
        <f t="shared" si="36"/>
        <v>187.53</v>
      </c>
      <c r="D28">
        <f t="shared" si="37"/>
        <v>90.01</v>
      </c>
      <c r="E28">
        <f t="shared" si="38"/>
        <v>53.2</v>
      </c>
      <c r="F28">
        <f t="shared" si="47"/>
        <v>29.7</v>
      </c>
      <c r="G28">
        <f t="shared" si="39"/>
        <v>52.94</v>
      </c>
      <c r="H28">
        <f t="shared" si="48"/>
        <v>75.27</v>
      </c>
      <c r="L28">
        <v>2050</v>
      </c>
      <c r="M28" s="8" t="str">
        <f t="shared" si="41"/>
        <v>0.0375</v>
      </c>
      <c r="N28" s="8" t="str">
        <f t="shared" si="42"/>
        <v>0.0445</v>
      </c>
      <c r="O28" s="8" t="str">
        <f t="shared" si="43"/>
        <v>0.035312</v>
      </c>
      <c r="P28" s="8" t="str">
        <f t="shared" si="44"/>
        <v>0.02225</v>
      </c>
      <c r="Q28" s="8" t="str">
        <f t="shared" si="49"/>
        <v>0.025</v>
      </c>
      <c r="R28" s="8" t="str">
        <f t="shared" si="45"/>
        <v>0.0375</v>
      </c>
      <c r="S28" s="8" t="str">
        <f t="shared" si="50"/>
        <v>0.01875</v>
      </c>
    </row>
  </sheetData>
  <mergeCells count="1">
    <mergeCell ref="M1:S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Assumption</vt:lpstr>
      <vt:lpstr>All</vt:lpstr>
      <vt:lpstr>IEA</vt:lpstr>
      <vt:lpstr>ICIS</vt:lpstr>
      <vt:lpstr>McKinsey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Charitopoulos, Vassilis</dc:creator>
  <cp:lastModifiedBy>Mohammad Hemmati</cp:lastModifiedBy>
  <dcterms:created xsi:type="dcterms:W3CDTF">2025-11-20T11:24:26Z</dcterms:created>
  <dcterms:modified xsi:type="dcterms:W3CDTF">2026-02-19T20:38:41Z</dcterms:modified>
</cp:coreProperties>
</file>